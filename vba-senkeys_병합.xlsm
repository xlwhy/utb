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960" yWindow="630" windowWidth="17835" windowHeight="8850" activeTab="1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Sheet1!$A$2:$A$19</definedName>
  </definedNames>
  <calcPr calcId="144525"/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" i="1"/>
  <c r="D3" i="1" l="1"/>
  <c r="G3" i="2"/>
  <c r="G5" i="2"/>
  <c r="G7" i="2"/>
  <c r="G13" i="2"/>
  <c r="G17" i="2"/>
  <c r="G9" i="2"/>
  <c r="G11" i="2"/>
  <c r="G15" i="2"/>
  <c r="G19" i="2"/>
  <c r="G18" i="2"/>
  <c r="G14" i="2"/>
  <c r="G10" i="2"/>
  <c r="G6" i="2"/>
  <c r="G2" i="2"/>
  <c r="G16" i="2"/>
  <c r="G12" i="2"/>
  <c r="G8" i="2"/>
  <c r="G4" i="2"/>
</calcChain>
</file>

<file path=xl/sharedStrings.xml><?xml version="1.0" encoding="utf-8"?>
<sst xmlns="http://schemas.openxmlformats.org/spreadsheetml/2006/main" count="44" uniqueCount="22">
  <si>
    <t>성명</t>
    <phoneticPr fontId="3" type="noConversion"/>
  </si>
  <si>
    <t>기타</t>
    <phoneticPr fontId="3" type="noConversion"/>
  </si>
  <si>
    <t>주민세</t>
    <phoneticPr fontId="3" type="noConversion"/>
  </si>
  <si>
    <t>비과세</t>
    <phoneticPr fontId="3" type="noConversion"/>
  </si>
  <si>
    <t>파랑이</t>
    <phoneticPr fontId="2" type="noConversion"/>
  </si>
  <si>
    <t>편식남</t>
    <phoneticPr fontId="2" type="noConversion"/>
  </si>
  <si>
    <t>우정상</t>
    <phoneticPr fontId="2" type="noConversion"/>
  </si>
  <si>
    <t>초록이</t>
    <phoneticPr fontId="2" type="noConversion"/>
  </si>
  <si>
    <t>겸손남</t>
    <phoneticPr fontId="2" type="noConversion"/>
  </si>
  <si>
    <t>소심이</t>
    <phoneticPr fontId="2" type="noConversion"/>
  </si>
  <si>
    <t>돌쇠</t>
    <phoneticPr fontId="2" type="noConversion"/>
  </si>
  <si>
    <t>오륜기</t>
    <phoneticPr fontId="2" type="noConversion"/>
  </si>
  <si>
    <t>신사임당</t>
    <phoneticPr fontId="2" type="noConversion"/>
  </si>
  <si>
    <t>파랑이</t>
    <phoneticPr fontId="2" type="noConversion"/>
  </si>
  <si>
    <t>편식남</t>
    <phoneticPr fontId="2" type="noConversion"/>
  </si>
  <si>
    <t>우정상</t>
    <phoneticPr fontId="2" type="noConversion"/>
  </si>
  <si>
    <t>초록이</t>
    <phoneticPr fontId="2" type="noConversion"/>
  </si>
  <si>
    <t>겸손남</t>
    <phoneticPr fontId="2" type="noConversion"/>
  </si>
  <si>
    <t>소심이</t>
    <phoneticPr fontId="2" type="noConversion"/>
  </si>
  <si>
    <t>돌쇠</t>
    <phoneticPr fontId="2" type="noConversion"/>
  </si>
  <si>
    <t>오륜기</t>
    <phoneticPr fontId="2" type="noConversion"/>
  </si>
  <si>
    <t>신사임당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</si>
</sst>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5" fillId="0" borderId="0" xfId="0" applyFont="1">
      <alignment vertical="center"/>
    </xf>
    <xf numFmtId="41" fontId="5" fillId="0" borderId="0" xfId="0" applyNumberFormat="1" applyFont="1">
      <alignment vertical="center"/>
    </xf>
    <xf numFmtId="41" fontId="6" fillId="0" borderId="2" xfId="1" applyFont="1" applyFill="1" applyBorder="1" applyAlignment="1">
      <alignment horizontal="center" vertical="center" wrapText="1"/>
    </xf>
    <xf numFmtId="41" fontId="6" fillId="0" borderId="1" xfId="1" applyFont="1" applyFill="1" applyBorder="1" applyAlignment="1">
      <alignment horizontal="center" vertical="center" wrapText="1"/>
    </xf>
    <xf numFmtId="41" fontId="7" fillId="0" borderId="1" xfId="1" applyFont="1" applyFill="1" applyBorder="1" applyAlignment="1">
      <alignment horizontal="center" vertical="center"/>
    </xf>
    <xf numFmtId="3" fontId="7" fillId="0" borderId="1" xfId="1" applyNumberFormat="1" applyFont="1" applyFill="1" applyBorder="1" applyAlignment="1">
      <alignment vertical="center"/>
    </xf>
    <xf numFmtId="0" fontId="5" fillId="0" borderId="0" xfId="0" applyNumberFormat="1" applyFont="1">
      <alignment vertical="center"/>
    </xf>
    <xf numFmtId="41" fontId="6" fillId="0" borderId="2" xfId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1" applyNumberFormat="1" applyFont="1" applyFill="1" applyBorder="1" applyAlignment="1">
      <alignment horizontal="center" vertical="center"/>
    </xf>
    <xf numFmtId="0" fontId="7" fillId="0" borderId="3" xfId="1" applyNumberFormat="1" applyFont="1" applyFill="1" applyBorder="1" applyAlignment="1">
      <alignment horizontal="center" vertical="center"/>
    </xf>
    <xf numFmtId="42" fontId="7" fillId="0" borderId="2" xfId="1" applyNumberFormat="1" applyFont="1" applyFill="1" applyBorder="1" applyAlignment="1">
      <alignment horizontal="center" vertical="center"/>
    </xf>
    <xf numFmtId="42" fontId="7" fillId="0" borderId="4" xfId="1" applyNumberFormat="1" applyFont="1" applyFill="1" applyBorder="1" applyAlignment="1">
      <alignment horizontal="center" vertical="center"/>
    </xf>
    <xf numFmtId="0" fontId="7" fillId="0" borderId="5" xfId="1" applyNumberFormat="1" applyFont="1" applyFill="1" applyBorder="1" applyAlignment="1">
      <alignment horizontal="center" vertical="center"/>
    </xf>
    <xf numFmtId="0" fontId="7" fillId="0" borderId="6" xfId="1" applyNumberFormat="1" applyFont="1" applyFill="1" applyBorder="1" applyAlignment="1">
      <alignment horizontal="center" vertical="center"/>
    </xf>
    <xf numFmtId="0" fontId="7" fillId="0" borderId="4" xfId="1" applyNumberFormat="1" applyFont="1" applyFill="1" applyBorder="1" applyAlignment="1">
      <alignment horizontal="center" vertical="center"/>
    </xf>
    <xf numFmtId="0" fontId="7" fillId="0" borderId="7" xfId="1" applyNumberFormat="1" applyFont="1" applyFill="1" applyBorder="1" applyAlignment="1">
      <alignment horizontal="center" vertical="center"/>
    </xf>
    <xf numFmtId="42" fontId="7" fillId="0" borderId="8" xfId="1" applyNumberFormat="1" applyFont="1" applyFill="1" applyBorder="1" applyAlignment="1">
      <alignment horizontal="center" vertical="center"/>
    </xf>
    <xf numFmtId="0" fontId="7" fillId="0" borderId="9" xfId="1" applyNumberFormat="1" applyFont="1" applyFill="1" applyBorder="1" applyAlignment="1">
      <alignment horizontal="center" vertical="center"/>
    </xf>
    <xf numFmtId="0" fontId="7" fillId="0" borderId="10" xfId="1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FFC000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2</xdr:row>
          <xdr:rowOff>57150</xdr:rowOff>
        </xdr:from>
        <xdr:to>
          <xdr:col>8</xdr:col>
          <xdr:colOff>133350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6</xdr:row>
          <xdr:rowOff>38100</xdr:rowOff>
        </xdr:from>
        <xdr:to>
          <xdr:col>7</xdr:col>
          <xdr:colOff>609600</xdr:colOff>
          <xdr:row>7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</xdr:row>
          <xdr:rowOff>38100</xdr:rowOff>
        </xdr:from>
        <xdr:to>
          <xdr:col>8</xdr:col>
          <xdr:colOff>19050</xdr:colOff>
          <xdr:row>2</xdr:row>
          <xdr:rowOff>85725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3</xdr:row>
          <xdr:rowOff>190500</xdr:rowOff>
        </xdr:from>
        <xdr:to>
          <xdr:col>8</xdr:col>
          <xdr:colOff>238125</xdr:colOff>
          <xdr:row>5</xdr:row>
          <xdr:rowOff>28575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</a:t>
              </a: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9"/>
  <sheetViews>
    <sheetView workbookViewId="0">
      <selection activeCell="A2" sqref="A1:D19"/>
    </sheetView>
  </sheetViews>
  <sheetFormatPr defaultRowHeight="16.5"/>
  <cols>
    <col min="1" max="1" width="9" style="1"/>
    <col min="2" max="2" width="8.625" style="1" customWidth="1"/>
    <col min="3" max="4" width="8.5" style="1" customWidth="1"/>
    <col min="5" max="5" width="2.125" style="1" customWidth="1"/>
    <col min="6" max="6" width="9" style="1"/>
    <col min="7" max="7" width="6" style="1" customWidth="1"/>
    <col min="8" max="16384" width="9" style="1"/>
  </cols>
  <sheetData>
    <row r="1" spans="1:7" ht="23.25" customHeight="1">
      <c r="A1" s="3" t="s">
        <v>0</v>
      </c>
      <c r="B1" s="4" t="s">
        <v>3</v>
      </c>
      <c r="C1" s="4" t="s">
        <v>1</v>
      </c>
      <c r="D1" s="4" t="s">
        <v>2</v>
      </c>
    </row>
    <row r="2" spans="1:7">
      <c r="A2" s="11" t="s">
        <v>4</v>
      </c>
      <c r="B2" s="5"/>
      <c r="C2" s="5">
        <v>200000</v>
      </c>
      <c r="D2" s="6">
        <v>9790</v>
      </c>
      <c r="E2" s="2"/>
      <c r="F2" s="11" t="s">
        <v>4</v>
      </c>
      <c r="G2" s="2" t="str">
        <f>A2</f>
        <v>파랑이</v>
      </c>
    </row>
    <row r="3" spans="1:7">
      <c r="A3" s="12"/>
      <c r="B3" s="5">
        <v>200000</v>
      </c>
      <c r="C3" s="5"/>
      <c r="D3" s="6">
        <f>D2*0.1</f>
        <v>979</v>
      </c>
      <c r="E3" s="2"/>
      <c r="F3" s="12"/>
      <c r="G3" s="2">
        <f t="shared" ref="G3:G19" si="0">A3</f>
        <v>0</v>
      </c>
    </row>
    <row r="4" spans="1:7">
      <c r="A4" s="13" t="s">
        <v>5</v>
      </c>
      <c r="B4" s="5">
        <v>126667</v>
      </c>
      <c r="C4" s="5">
        <v>126667</v>
      </c>
      <c r="D4" s="6">
        <v>8560</v>
      </c>
      <c r="F4" s="13" t="s">
        <v>5</v>
      </c>
      <c r="G4" s="2" t="str">
        <f t="shared" si="0"/>
        <v>편식남</v>
      </c>
    </row>
    <row r="5" spans="1:7">
      <c r="A5" s="14"/>
      <c r="B5" s="5"/>
      <c r="C5" s="5"/>
      <c r="D5" s="6">
        <v>850</v>
      </c>
      <c r="F5" s="14"/>
      <c r="G5" s="2">
        <f t="shared" si="0"/>
        <v>0</v>
      </c>
    </row>
    <row r="6" spans="1:7">
      <c r="A6" s="15" t="s">
        <v>6</v>
      </c>
      <c r="B6" s="5"/>
      <c r="C6" s="5">
        <v>200000</v>
      </c>
      <c r="D6" s="6">
        <v>2659</v>
      </c>
      <c r="F6" s="15" t="s">
        <v>6</v>
      </c>
      <c r="G6" s="2" t="str">
        <f t="shared" si="0"/>
        <v>우정상</v>
      </c>
    </row>
    <row r="7" spans="1:7">
      <c r="A7" s="16"/>
      <c r="B7" s="5"/>
      <c r="C7" s="5"/>
      <c r="D7" s="6">
        <v>265</v>
      </c>
      <c r="F7" s="16"/>
      <c r="G7" s="2">
        <f t="shared" si="0"/>
        <v>0</v>
      </c>
    </row>
    <row r="8" spans="1:7">
      <c r="A8" s="17" t="s">
        <v>7</v>
      </c>
      <c r="B8" s="5">
        <v>186667</v>
      </c>
      <c r="C8" s="5">
        <v>186667</v>
      </c>
      <c r="D8" s="6">
        <v>2466</v>
      </c>
      <c r="F8" s="17" t="s">
        <v>7</v>
      </c>
      <c r="G8" s="2" t="str">
        <f t="shared" si="0"/>
        <v>초록이</v>
      </c>
    </row>
    <row r="9" spans="1:7">
      <c r="A9" s="12"/>
      <c r="B9" s="5">
        <v>186667</v>
      </c>
      <c r="C9" s="5"/>
      <c r="D9" s="6">
        <v>240</v>
      </c>
      <c r="F9" s="12"/>
      <c r="G9" s="2">
        <f t="shared" si="0"/>
        <v>0</v>
      </c>
    </row>
    <row r="10" spans="1:7">
      <c r="A10" s="11" t="s">
        <v>8</v>
      </c>
      <c r="B10" s="5">
        <v>270000</v>
      </c>
      <c r="C10" s="5">
        <v>180000</v>
      </c>
      <c r="D10" s="6">
        <v>4020</v>
      </c>
      <c r="F10" s="11" t="s">
        <v>8</v>
      </c>
      <c r="G10" s="2" t="str">
        <f t="shared" si="0"/>
        <v>겸손남</v>
      </c>
    </row>
    <row r="11" spans="1:7">
      <c r="A11" s="12"/>
      <c r="B11" s="5"/>
      <c r="C11" s="5"/>
      <c r="D11" s="6">
        <v>400</v>
      </c>
      <c r="F11" s="12"/>
      <c r="G11" s="2">
        <f t="shared" si="0"/>
        <v>0</v>
      </c>
    </row>
    <row r="12" spans="1:7">
      <c r="A12" s="11" t="s">
        <v>9</v>
      </c>
      <c r="B12" s="5">
        <v>200000</v>
      </c>
      <c r="C12" s="5">
        <v>200000</v>
      </c>
      <c r="D12" s="6">
        <v>26910</v>
      </c>
      <c r="F12" s="11" t="s">
        <v>9</v>
      </c>
      <c r="G12" s="2" t="str">
        <f t="shared" si="0"/>
        <v>소심이</v>
      </c>
    </row>
    <row r="13" spans="1:7">
      <c r="A13" s="12"/>
      <c r="B13" s="5"/>
      <c r="C13" s="5"/>
      <c r="D13" s="6">
        <v>2690</v>
      </c>
      <c r="F13" s="12"/>
      <c r="G13" s="2">
        <f t="shared" si="0"/>
        <v>0</v>
      </c>
    </row>
    <row r="14" spans="1:7">
      <c r="A14" s="11" t="s">
        <v>10</v>
      </c>
      <c r="B14" s="5">
        <v>200000</v>
      </c>
      <c r="C14" s="5">
        <v>200000</v>
      </c>
      <c r="D14" s="6">
        <v>2274</v>
      </c>
      <c r="F14" s="11" t="s">
        <v>10</v>
      </c>
      <c r="G14" s="2" t="str">
        <f t="shared" si="0"/>
        <v>돌쇠</v>
      </c>
    </row>
    <row r="15" spans="1:7">
      <c r="A15" s="12"/>
      <c r="B15" s="5"/>
      <c r="C15" s="5"/>
      <c r="D15" s="6">
        <v>220</v>
      </c>
      <c r="F15" s="12"/>
      <c r="G15" s="2">
        <f t="shared" si="0"/>
        <v>0</v>
      </c>
    </row>
    <row r="16" spans="1:7">
      <c r="A16" s="11" t="s">
        <v>11</v>
      </c>
      <c r="B16" s="5">
        <v>200000</v>
      </c>
      <c r="C16" s="5">
        <v>200000</v>
      </c>
      <c r="D16" s="6">
        <v>2659</v>
      </c>
      <c r="F16" s="11" t="s">
        <v>11</v>
      </c>
      <c r="G16" s="2" t="str">
        <f t="shared" si="0"/>
        <v>오륜기</v>
      </c>
    </row>
    <row r="17" spans="1:7">
      <c r="A17" s="12"/>
      <c r="B17" s="5"/>
      <c r="C17" s="5"/>
      <c r="D17" s="6">
        <v>265</v>
      </c>
      <c r="F17" s="12"/>
      <c r="G17" s="2">
        <f t="shared" si="0"/>
        <v>0</v>
      </c>
    </row>
    <row r="18" spans="1:7">
      <c r="A18" s="11" t="s">
        <v>12</v>
      </c>
      <c r="B18" s="5">
        <v>200000</v>
      </c>
      <c r="C18" s="5">
        <v>200000</v>
      </c>
      <c r="D18" s="6">
        <v>26590</v>
      </c>
      <c r="F18" s="11" t="s">
        <v>12</v>
      </c>
      <c r="G18" s="2" t="str">
        <f t="shared" si="0"/>
        <v>신사임당</v>
      </c>
    </row>
    <row r="19" spans="1:7">
      <c r="A19" s="12"/>
      <c r="B19" s="5"/>
      <c r="C19" s="5"/>
      <c r="D19" s="6">
        <v>2650</v>
      </c>
      <c r="F19" s="12"/>
      <c r="G19" s="2">
        <f t="shared" si="0"/>
        <v>0</v>
      </c>
    </row>
  </sheetData>
  <sortState ref="F2:G19">
    <sortCondition ref="G2"/>
  </sortState>
  <mergeCells count="18">
    <mergeCell ref="F12:F13"/>
    <mergeCell ref="F14:F15"/>
    <mergeCell ref="F16:F17"/>
    <mergeCell ref="F18:F19"/>
    <mergeCell ref="F2:F3"/>
    <mergeCell ref="F4:F5"/>
    <mergeCell ref="F6:F7"/>
    <mergeCell ref="F8:F9"/>
    <mergeCell ref="F10:F11"/>
    <mergeCell ref="A12:A13"/>
    <mergeCell ref="A14:A15"/>
    <mergeCell ref="A16:A17"/>
    <mergeCell ref="A18:A19"/>
    <mergeCell ref="A2:A3"/>
    <mergeCell ref="A4:A5"/>
    <mergeCell ref="A6:A7"/>
    <mergeCell ref="A8:A9"/>
    <mergeCell ref="A10:A1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단추1_Click">
                <anchor moveWithCells="1">
                  <from>
                    <xdr:col>7</xdr:col>
                    <xdr:colOff>361950</xdr:colOff>
                    <xdr:row>2</xdr:row>
                    <xdr:rowOff>57150</xdr:rowOff>
                  </from>
                  <to>
                    <xdr:col>8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매크로1">
                <anchor moveWithCells="1">
                  <from>
                    <xdr:col>7</xdr:col>
                    <xdr:colOff>152400</xdr:colOff>
                    <xdr:row>6</xdr:row>
                    <xdr:rowOff>38100</xdr:rowOff>
                  </from>
                  <to>
                    <xdr:col>7</xdr:col>
                    <xdr:colOff>609600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9"/>
  <sheetViews>
    <sheetView tabSelected="1" workbookViewId="0">
      <selection activeCell="D14" sqref="D14"/>
    </sheetView>
  </sheetViews>
  <sheetFormatPr defaultRowHeight="16.5"/>
  <cols>
    <col min="1" max="1" width="8" customWidth="1"/>
    <col min="2" max="2" width="8.625" customWidth="1"/>
    <col min="3" max="3" width="8.5" customWidth="1"/>
    <col min="4" max="4" width="6.875" bestFit="1" customWidth="1"/>
    <col min="5" max="5" width="2.125" customWidth="1"/>
    <col min="6" max="6" width="7.75" customWidth="1"/>
    <col min="7" max="7" width="8.25" customWidth="1"/>
  </cols>
  <sheetData>
    <row r="1" spans="1:8">
      <c r="A1" s="8" t="s">
        <v>0</v>
      </c>
      <c r="B1" s="9" t="s">
        <v>3</v>
      </c>
      <c r="C1" s="9" t="s">
        <v>1</v>
      </c>
      <c r="D1" s="9" t="s">
        <v>2</v>
      </c>
      <c r="E1" s="1"/>
      <c r="F1" s="1"/>
      <c r="G1" s="1"/>
    </row>
    <row r="2" spans="1:8">
      <c r="A2" s="11" t="s">
        <v>13</v>
      </c>
      <c r="B2" s="5">
        <v>0</v>
      </c>
      <c r="C2" s="5">
        <v>200000</v>
      </c>
      <c r="D2" s="6">
        <v>9790</v>
      </c>
      <c r="E2" s="2"/>
      <c r="F2" s="11" t="s">
        <v>4</v>
      </c>
      <c r="G2" s="7" t="str">
        <f>A2</f>
        <v>파랑이</v>
      </c>
    </row>
    <row r="3" spans="1:8">
      <c r="A3" s="12"/>
      <c r="B3" s="5">
        <v>200000</v>
      </c>
      <c r="C3" s="5">
        <v>0</v>
      </c>
      <c r="D3" s="6">
        <v>979</v>
      </c>
      <c r="E3" s="2"/>
      <c r="F3" s="12"/>
      <c r="G3" s="7">
        <f t="shared" ref="G3:G19" si="0">A3</f>
        <v>0</v>
      </c>
    </row>
    <row r="4" spans="1:8">
      <c r="A4" s="13" t="s">
        <v>14</v>
      </c>
      <c r="B4" s="5">
        <v>126667</v>
      </c>
      <c r="C4" s="5">
        <v>126667</v>
      </c>
      <c r="D4" s="6">
        <v>8560</v>
      </c>
      <c r="E4" s="1"/>
      <c r="F4" s="13" t="s">
        <v>5</v>
      </c>
      <c r="G4" s="7" t="str">
        <f t="shared" si="0"/>
        <v>편식남</v>
      </c>
    </row>
    <row r="5" spans="1:8">
      <c r="A5" s="19"/>
      <c r="B5" s="5">
        <v>0</v>
      </c>
      <c r="C5" s="5">
        <v>0</v>
      </c>
      <c r="D5" s="6">
        <v>850</v>
      </c>
      <c r="E5" s="1"/>
      <c r="F5" s="14"/>
      <c r="G5" s="7">
        <f t="shared" si="0"/>
        <v>0</v>
      </c>
    </row>
    <row r="6" spans="1:8">
      <c r="A6" s="20" t="s">
        <v>15</v>
      </c>
      <c r="B6" s="5">
        <v>0</v>
      </c>
      <c r="C6" s="5">
        <v>200000</v>
      </c>
      <c r="D6" s="6">
        <v>2659</v>
      </c>
      <c r="E6" s="1"/>
      <c r="F6" s="15" t="s">
        <v>6</v>
      </c>
      <c r="G6" s="7" t="str">
        <f t="shared" si="0"/>
        <v>우정상</v>
      </c>
    </row>
    <row r="7" spans="1:8">
      <c r="A7" s="21"/>
      <c r="B7" s="5">
        <v>0</v>
      </c>
      <c r="C7" s="5">
        <v>0</v>
      </c>
      <c r="D7" s="6">
        <v>265</v>
      </c>
      <c r="E7" s="1"/>
      <c r="F7" s="16"/>
      <c r="G7" s="7">
        <f t="shared" si="0"/>
        <v>0</v>
      </c>
    </row>
    <row r="8" spans="1:8">
      <c r="A8" s="18" t="s">
        <v>16</v>
      </c>
      <c r="B8" s="5">
        <v>186667</v>
      </c>
      <c r="C8" s="5">
        <v>186667</v>
      </c>
      <c r="D8" s="6">
        <v>2466</v>
      </c>
      <c r="E8" s="1"/>
      <c r="F8" s="17" t="s">
        <v>7</v>
      </c>
      <c r="G8" s="7" t="str">
        <f t="shared" si="0"/>
        <v>초록이</v>
      </c>
    </row>
    <row r="9" spans="1:8">
      <c r="A9" s="12"/>
      <c r="B9" s="5">
        <v>186667</v>
      </c>
      <c r="C9" s="5">
        <v>0</v>
      </c>
      <c r="D9" s="6">
        <v>240</v>
      </c>
      <c r="E9" s="1"/>
      <c r="F9" s="12"/>
      <c r="G9" s="7">
        <f t="shared" si="0"/>
        <v>0</v>
      </c>
    </row>
    <row r="10" spans="1:8">
      <c r="A10" s="11" t="s">
        <v>17</v>
      </c>
      <c r="B10" s="5">
        <v>270000</v>
      </c>
      <c r="C10" s="5">
        <v>180000</v>
      </c>
      <c r="D10" s="6">
        <v>4020</v>
      </c>
      <c r="E10" s="1"/>
      <c r="F10" s="11" t="s">
        <v>8</v>
      </c>
      <c r="G10" s="7" t="str">
        <f t="shared" si="0"/>
        <v>겸손남</v>
      </c>
    </row>
    <row r="11" spans="1:8">
      <c r="A11" s="12"/>
      <c r="B11" s="5">
        <v>0</v>
      </c>
      <c r="C11" s="5">
        <v>0</v>
      </c>
      <c r="D11" s="6">
        <v>400</v>
      </c>
      <c r="E11" s="1"/>
      <c r="F11" s="12"/>
      <c r="G11" s="7">
        <f t="shared" si="0"/>
        <v>0</v>
      </c>
      <c r="H11" s="10"/>
    </row>
    <row r="12" spans="1:8">
      <c r="A12" s="11" t="s">
        <v>18</v>
      </c>
      <c r="B12" s="5">
        <v>200000</v>
      </c>
      <c r="C12" s="5">
        <v>200000</v>
      </c>
      <c r="D12" s="6">
        <v>26910</v>
      </c>
      <c r="E12" s="1"/>
      <c r="F12" s="11" t="s">
        <v>9</v>
      </c>
      <c r="G12" s="7" t="str">
        <f t="shared" si="0"/>
        <v>소심이</v>
      </c>
    </row>
    <row r="13" spans="1:8">
      <c r="A13" s="12"/>
      <c r="B13" s="5">
        <v>0</v>
      </c>
      <c r="C13" s="5">
        <v>0</v>
      </c>
      <c r="D13" s="6">
        <v>2690</v>
      </c>
      <c r="E13" s="1"/>
      <c r="F13" s="12"/>
      <c r="G13" s="7">
        <f t="shared" si="0"/>
        <v>0</v>
      </c>
    </row>
    <row r="14" spans="1:8">
      <c r="A14" s="11" t="s">
        <v>19</v>
      </c>
      <c r="B14" s="5">
        <v>200000</v>
      </c>
      <c r="C14" s="5">
        <v>200000</v>
      </c>
      <c r="D14" s="6">
        <v>2274</v>
      </c>
      <c r="E14" s="1"/>
      <c r="F14" s="11" t="s">
        <v>10</v>
      </c>
      <c r="G14" s="7" t="str">
        <f t="shared" si="0"/>
        <v>돌쇠</v>
      </c>
    </row>
    <row r="15" spans="1:8">
      <c r="A15" s="12"/>
      <c r="B15" s="5">
        <v>0</v>
      </c>
      <c r="C15" s="5">
        <v>0</v>
      </c>
      <c r="D15" s="6">
        <v>220</v>
      </c>
      <c r="E15" s="1"/>
      <c r="F15" s="12"/>
      <c r="G15" s="7">
        <f t="shared" si="0"/>
        <v>0</v>
      </c>
    </row>
    <row r="16" spans="1:8">
      <c r="A16" s="11" t="s">
        <v>20</v>
      </c>
      <c r="B16" s="5">
        <v>200000</v>
      </c>
      <c r="C16" s="5">
        <v>200000</v>
      </c>
      <c r="D16" s="6">
        <v>2659</v>
      </c>
      <c r="E16" s="1"/>
      <c r="F16" s="11" t="s">
        <v>11</v>
      </c>
      <c r="G16" s="7" t="str">
        <f t="shared" si="0"/>
        <v>오륜기</v>
      </c>
    </row>
    <row r="17" spans="1:7">
      <c r="A17" s="12"/>
      <c r="B17" s="5">
        <v>0</v>
      </c>
      <c r="C17" s="5">
        <v>0</v>
      </c>
      <c r="D17" s="6">
        <v>265</v>
      </c>
      <c r="E17" s="1"/>
      <c r="F17" s="12"/>
      <c r="G17" s="7">
        <f t="shared" si="0"/>
        <v>0</v>
      </c>
    </row>
    <row r="18" spans="1:7">
      <c r="A18" s="11" t="s">
        <v>21</v>
      </c>
      <c r="B18" s="5">
        <v>200000</v>
      </c>
      <c r="C18" s="5">
        <v>200000</v>
      </c>
      <c r="D18" s="6">
        <v>26590</v>
      </c>
      <c r="E18" s="1"/>
      <c r="F18" s="11" t="s">
        <v>12</v>
      </c>
      <c r="G18" s="7" t="str">
        <f t="shared" si="0"/>
        <v>신사임당</v>
      </c>
    </row>
    <row r="19" spans="1:7">
      <c r="A19" s="12"/>
      <c r="B19" s="5">
        <v>0</v>
      </c>
      <c r="C19" s="5">
        <v>0</v>
      </c>
      <c r="D19" s="6">
        <v>2650</v>
      </c>
      <c r="E19" s="1"/>
      <c r="F19" s="12"/>
      <c r="G19" s="7">
        <f t="shared" si="0"/>
        <v>0</v>
      </c>
    </row>
  </sheetData>
  <mergeCells count="18">
    <mergeCell ref="A14:A15"/>
    <mergeCell ref="F14:F15"/>
    <mergeCell ref="A16:A17"/>
    <mergeCell ref="F16:F17"/>
    <mergeCell ref="A18:A19"/>
    <mergeCell ref="F18:F19"/>
    <mergeCell ref="A8:A9"/>
    <mergeCell ref="F8:F9"/>
    <mergeCell ref="A10:A11"/>
    <mergeCell ref="F10:F11"/>
    <mergeCell ref="A12:A13"/>
    <mergeCell ref="F12:F13"/>
    <mergeCell ref="A2:A3"/>
    <mergeCell ref="F2:F3"/>
    <mergeCell ref="A4:A5"/>
    <mergeCell ref="F4:F5"/>
    <mergeCell ref="A6:A7"/>
    <mergeCell ref="F6:F7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0]!단추7_Click">
                <anchor moveWithCells="1">
                  <from>
                    <xdr:col>7</xdr:col>
                    <xdr:colOff>247650</xdr:colOff>
                    <xdr:row>1</xdr:row>
                    <xdr:rowOff>38100</xdr:rowOff>
                  </from>
                  <to>
                    <xdr:col>8</xdr:col>
                    <xdr:colOff>19050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dddddddddd">
                <anchor moveWithCells="1">
                  <from>
                    <xdr:col>7</xdr:col>
                    <xdr:colOff>466725</xdr:colOff>
                    <xdr:row>3</xdr:row>
                    <xdr:rowOff>190500</xdr:rowOff>
                  </from>
                  <to>
                    <xdr:col>8</xdr:col>
                    <xdr:colOff>238125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xlwhy.com</dc:creator>
  <cp:lastModifiedBy>xlwhy.com</cp:lastModifiedBy>
  <cp:lastPrinted>2024-07-15T23:53:43Z</cp:lastPrinted>
  <dcterms:created xsi:type="dcterms:W3CDTF">2024-07-12T21:36:38Z</dcterms:created>
  <dcterms:modified xsi:type="dcterms:W3CDTF">2024-07-16T20:48:12Z</dcterms:modified>
</cp:coreProperties>
</file>