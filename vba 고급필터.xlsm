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240" yWindow="90" windowWidth="24795" windowHeight="10320"/>
  </bookViews>
  <sheets>
    <sheet name="납품내역" sheetId="1" r:id="rId1"/>
    <sheet name="품목별조회" sheetId="2" r:id="rId2"/>
    <sheet name="Sheet3" sheetId="3" r:id="rId3"/>
  </sheets>
  <definedNames>
    <definedName name="_xlnm.Criteria" localSheetId="1">품목별조회!$K$1:$K$2</definedName>
    <definedName name="_xlnm.Extract" localSheetId="1">품목별조회!$H$4:$L$4</definedName>
    <definedName name="품목">품목별조회!#REF!</definedName>
  </definedNames>
  <calcPr calcId="144525"/>
</workbook>
</file>

<file path=xl/calcChain.xml><?xml version="1.0" encoding="utf-8"?>
<calcChain xmlns="http://schemas.openxmlformats.org/spreadsheetml/2006/main">
  <c r="K2" i="2" l="1"/>
  <c r="H4" i="2"/>
  <c r="I4" i="2"/>
  <c r="K1" i="2" s="1"/>
  <c r="J4" i="2"/>
  <c r="K4" i="2"/>
  <c r="L4" i="2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</calcChain>
</file>

<file path=xl/sharedStrings.xml><?xml version="1.0" encoding="utf-8"?>
<sst xmlns="http://schemas.openxmlformats.org/spreadsheetml/2006/main" count="34" uniqueCount="22">
  <si>
    <t>납품일자</t>
    <phoneticPr fontId="1" type="noConversion"/>
  </si>
  <si>
    <t>품목</t>
    <phoneticPr fontId="1" type="noConversion"/>
  </si>
  <si>
    <t>납품수량</t>
    <phoneticPr fontId="1" type="noConversion"/>
  </si>
  <si>
    <t>납품단가</t>
    <phoneticPr fontId="1" type="noConversion"/>
  </si>
  <si>
    <t>납품액</t>
    <phoneticPr fontId="1" type="noConversion"/>
  </si>
  <si>
    <t>떡볶이</t>
    <phoneticPr fontId="1" type="noConversion"/>
  </si>
  <si>
    <t>김밥</t>
    <phoneticPr fontId="1" type="noConversion"/>
  </si>
  <si>
    <t>떡볶이</t>
    <phoneticPr fontId="1" type="noConversion"/>
  </si>
  <si>
    <t>순대</t>
    <phoneticPr fontId="1" type="noConversion"/>
  </si>
  <si>
    <t>만두</t>
    <phoneticPr fontId="1" type="noConversion"/>
  </si>
  <si>
    <t>제품명</t>
    <phoneticPr fontId="1" type="noConversion"/>
  </si>
  <si>
    <t>총납품건수</t>
    <phoneticPr fontId="1" type="noConversion"/>
  </si>
  <si>
    <t>총 납품수량</t>
    <phoneticPr fontId="1" type="noConversion"/>
  </si>
  <si>
    <t>총납품금액</t>
    <phoneticPr fontId="1" type="noConversion"/>
  </si>
  <si>
    <t>일자</t>
    <phoneticPr fontId="1" type="noConversion"/>
  </si>
  <si>
    <t>품목</t>
    <phoneticPr fontId="1" type="noConversion"/>
  </si>
  <si>
    <t>납품수량</t>
    <phoneticPr fontId="1" type="noConversion"/>
  </si>
  <si>
    <t>납품단가</t>
    <phoneticPr fontId="1" type="noConversion"/>
  </si>
  <si>
    <t>납품금액</t>
    <phoneticPr fontId="1" type="noConversion"/>
  </si>
  <si>
    <t xml:space="preserve"> </t>
    <phoneticPr fontId="1" type="noConversion"/>
  </si>
  <si>
    <t xml:space="preserve"> </t>
    <phoneticPr fontId="1" type="noConversion"/>
  </si>
  <si>
    <t>만두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</si>
</sst>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m&quot;월&quot;\ dd&quot;일&quot;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2" borderId="1" xfId="0" applyFill="1" applyBorder="1">
      <alignment vertical="center"/>
    </xf>
    <xf numFmtId="176" fontId="0" fillId="0" borderId="2" xfId="0" applyNumberFormat="1" applyBorder="1">
      <alignment vertical="center"/>
    </xf>
    <xf numFmtId="0" fontId="0" fillId="0" borderId="2" xfId="0" applyBorder="1">
      <alignment vertical="center"/>
    </xf>
    <xf numFmtId="176" fontId="0" fillId="0" borderId="3" xfId="0" applyNumberFormat="1" applyBorder="1">
      <alignment vertical="center"/>
    </xf>
    <xf numFmtId="0" fontId="0" fillId="0" borderId="3" xfId="0" applyBorder="1">
      <alignment vertical="center"/>
    </xf>
    <xf numFmtId="14" fontId="0" fillId="0" borderId="3" xfId="0" applyNumberFormat="1" applyBorder="1">
      <alignment vertical="center"/>
    </xf>
    <xf numFmtId="14" fontId="0" fillId="0" borderId="7" xfId="0" applyNumberFormat="1" applyBorder="1">
      <alignment vertical="center"/>
    </xf>
    <xf numFmtId="0" fontId="0" fillId="0" borderId="7" xfId="0" applyBorder="1">
      <alignment vertical="center"/>
    </xf>
    <xf numFmtId="14" fontId="0" fillId="0" borderId="0" xfId="0" applyNumberFormat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">
    <cellStyle name="표준" xfId="0" builtinId="0"/>
  </cellStyles>
  <dxfs count="0"/>
  <tableStyles count="0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0</xdr:row>
          <xdr:rowOff>38100</xdr:rowOff>
        </xdr:from>
        <xdr:to>
          <xdr:col>8</xdr:col>
          <xdr:colOff>647700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</a:t>
              </a: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7"/>
  <sheetViews>
    <sheetView tabSelected="1" zoomScale="97" workbookViewId="0">
      <selection activeCell="B11" sqref="B11"/>
    </sheetView>
  </sheetViews>
  <sheetFormatPr defaultRowHeight="16.5" x14ac:dyDescent="0.3"/>
  <cols>
    <col min="1" max="1" width="9.875" customWidth="1"/>
    <col min="3" max="4" width="9.875" customWidth="1"/>
  </cols>
  <sheetData>
    <row r="2" spans="1:5" ht="17.25" thickBot="1" x14ac:dyDescent="0.3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</row>
    <row r="3" spans="1:5" x14ac:dyDescent="0.3">
      <c r="A3" s="2">
        <v>45634</v>
      </c>
      <c r="B3" s="3" t="s">
        <v>5</v>
      </c>
      <c r="C3" s="3">
        <v>12</v>
      </c>
      <c r="D3" s="3">
        <v>2000</v>
      </c>
      <c r="E3" s="3">
        <f>C3*D3</f>
        <v>24000</v>
      </c>
    </row>
    <row r="4" spans="1:5" x14ac:dyDescent="0.3">
      <c r="A4" s="4">
        <v>45636</v>
      </c>
      <c r="B4" s="5" t="s">
        <v>6</v>
      </c>
      <c r="C4" s="5">
        <v>10</v>
      </c>
      <c r="D4" s="5">
        <v>1000</v>
      </c>
      <c r="E4" s="5">
        <f t="shared" ref="E4:E17" si="0">C4*D4</f>
        <v>10000</v>
      </c>
    </row>
    <row r="5" spans="1:5" x14ac:dyDescent="0.3">
      <c r="A5" s="4">
        <v>45636</v>
      </c>
      <c r="B5" s="5" t="s">
        <v>7</v>
      </c>
      <c r="C5" s="5">
        <v>65</v>
      </c>
      <c r="D5" s="5">
        <v>2000</v>
      </c>
      <c r="E5" s="5">
        <f t="shared" si="0"/>
        <v>130000</v>
      </c>
    </row>
    <row r="6" spans="1:5" x14ac:dyDescent="0.3">
      <c r="A6" s="4">
        <v>45637</v>
      </c>
      <c r="B6" s="5" t="s">
        <v>6</v>
      </c>
      <c r="C6" s="5">
        <v>14</v>
      </c>
      <c r="D6" s="5">
        <v>1000</v>
      </c>
      <c r="E6" s="5">
        <f t="shared" si="0"/>
        <v>14000</v>
      </c>
    </row>
    <row r="7" spans="1:5" x14ac:dyDescent="0.3">
      <c r="A7" s="4">
        <v>45637</v>
      </c>
      <c r="B7" s="5" t="s">
        <v>8</v>
      </c>
      <c r="C7" s="5">
        <v>23</v>
      </c>
      <c r="D7" s="5">
        <v>3000</v>
      </c>
      <c r="E7" s="5">
        <f t="shared" si="0"/>
        <v>69000</v>
      </c>
    </row>
    <row r="8" spans="1:5" x14ac:dyDescent="0.3">
      <c r="A8" s="4">
        <v>45638</v>
      </c>
      <c r="B8" s="5" t="s">
        <v>7</v>
      </c>
      <c r="C8" s="5">
        <v>45</v>
      </c>
      <c r="D8" s="5">
        <v>2000</v>
      </c>
      <c r="E8" s="5">
        <f t="shared" si="0"/>
        <v>90000</v>
      </c>
    </row>
    <row r="9" spans="1:5" x14ac:dyDescent="0.3">
      <c r="A9" s="4">
        <v>45638</v>
      </c>
      <c r="B9" s="5" t="s">
        <v>8</v>
      </c>
      <c r="C9" s="5">
        <v>77</v>
      </c>
      <c r="D9" s="5">
        <v>3000</v>
      </c>
      <c r="E9" s="5">
        <f t="shared" si="0"/>
        <v>231000</v>
      </c>
    </row>
    <row r="10" spans="1:5" x14ac:dyDescent="0.3">
      <c r="A10" s="4">
        <v>45639</v>
      </c>
      <c r="B10" s="5" t="s">
        <v>7</v>
      </c>
      <c r="C10" s="5">
        <v>11</v>
      </c>
      <c r="D10" s="5">
        <v>2000</v>
      </c>
      <c r="E10" s="5">
        <f t="shared" si="0"/>
        <v>22000</v>
      </c>
    </row>
    <row r="11" spans="1:5" x14ac:dyDescent="0.3">
      <c r="A11" s="4">
        <v>45639</v>
      </c>
      <c r="B11" s="5" t="s">
        <v>6</v>
      </c>
      <c r="C11" s="5">
        <v>24</v>
      </c>
      <c r="D11" s="5">
        <v>1000</v>
      </c>
      <c r="E11" s="5">
        <f t="shared" si="0"/>
        <v>24000</v>
      </c>
    </row>
    <row r="12" spans="1:5" x14ac:dyDescent="0.3">
      <c r="A12" s="4">
        <v>45640</v>
      </c>
      <c r="B12" s="5" t="s">
        <v>6</v>
      </c>
      <c r="C12" s="5">
        <v>55</v>
      </c>
      <c r="D12" s="5">
        <v>1000</v>
      </c>
      <c r="E12" s="5">
        <f t="shared" si="0"/>
        <v>55000</v>
      </c>
    </row>
    <row r="13" spans="1:5" x14ac:dyDescent="0.3">
      <c r="A13" s="4">
        <v>45641</v>
      </c>
      <c r="B13" s="5" t="s">
        <v>6</v>
      </c>
      <c r="C13" s="5">
        <v>23</v>
      </c>
      <c r="D13" s="5">
        <v>1000</v>
      </c>
      <c r="E13" s="5">
        <f t="shared" si="0"/>
        <v>23000</v>
      </c>
    </row>
    <row r="14" spans="1:5" x14ac:dyDescent="0.3">
      <c r="A14" s="4">
        <v>45641</v>
      </c>
      <c r="B14" s="5" t="s">
        <v>9</v>
      </c>
      <c r="C14" s="5">
        <v>13</v>
      </c>
      <c r="D14" s="5">
        <v>4000</v>
      </c>
      <c r="E14" s="5">
        <f t="shared" si="0"/>
        <v>52000</v>
      </c>
    </row>
    <row r="15" spans="1:5" x14ac:dyDescent="0.3">
      <c r="A15" s="4">
        <v>45641</v>
      </c>
      <c r="B15" s="5" t="s">
        <v>8</v>
      </c>
      <c r="C15" s="5">
        <v>10</v>
      </c>
      <c r="D15" s="5">
        <v>3000</v>
      </c>
      <c r="E15" s="5">
        <f t="shared" si="0"/>
        <v>30000</v>
      </c>
    </row>
    <row r="16" spans="1:5" x14ac:dyDescent="0.3">
      <c r="A16" s="4">
        <v>45642</v>
      </c>
      <c r="B16" s="5" t="s">
        <v>6</v>
      </c>
      <c r="C16" s="5">
        <v>12</v>
      </c>
      <c r="D16" s="5">
        <v>1000</v>
      </c>
      <c r="E16" s="5">
        <f t="shared" si="0"/>
        <v>12000</v>
      </c>
    </row>
    <row r="17" spans="1:5" x14ac:dyDescent="0.3">
      <c r="A17" s="4">
        <v>45643</v>
      </c>
      <c r="B17" s="5" t="s">
        <v>8</v>
      </c>
      <c r="C17" s="5">
        <v>25</v>
      </c>
      <c r="D17" s="5">
        <v>3000</v>
      </c>
      <c r="E17" s="5">
        <f t="shared" si="0"/>
        <v>75000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8"/>
  <sheetViews>
    <sheetView workbookViewId="0">
      <selection activeCell="C1" sqref="C1"/>
    </sheetView>
  </sheetViews>
  <sheetFormatPr defaultRowHeight="16.5" x14ac:dyDescent="0.3"/>
  <cols>
    <col min="1" max="1" width="8.375" customWidth="1"/>
    <col min="2" max="2" width="10.25" style="9" customWidth="1"/>
    <col min="7" max="7" width="11.75" customWidth="1"/>
    <col min="8" max="8" width="10.375" customWidth="1"/>
  </cols>
  <sheetData>
    <row r="1" spans="1:12" x14ac:dyDescent="0.3">
      <c r="B1" s="6" t="s">
        <v>10</v>
      </c>
      <c r="C1" s="5" t="s">
        <v>21</v>
      </c>
      <c r="D1" s="10"/>
      <c r="E1" s="11"/>
      <c r="F1" s="12"/>
      <c r="K1" s="9" t="str">
        <f>I4</f>
        <v>품목</v>
      </c>
    </row>
    <row r="2" spans="1:12" x14ac:dyDescent="0.3">
      <c r="B2" s="6" t="s">
        <v>11</v>
      </c>
      <c r="C2" s="5"/>
      <c r="D2" s="13" t="s">
        <v>12</v>
      </c>
      <c r="E2" s="13"/>
      <c r="F2" s="5"/>
      <c r="G2" s="5" t="s">
        <v>13</v>
      </c>
      <c r="H2" s="5"/>
      <c r="K2" t="str">
        <f>C1</f>
        <v>만두</v>
      </c>
    </row>
    <row r="4" spans="1:12" ht="17.25" thickBot="1" x14ac:dyDescent="0.35">
      <c r="B4" s="7" t="s">
        <v>14</v>
      </c>
      <c r="C4" s="8" t="s">
        <v>15</v>
      </c>
      <c r="D4" s="8" t="s">
        <v>16</v>
      </c>
      <c r="E4" s="8" t="s">
        <v>17</v>
      </c>
      <c r="F4" s="8" t="s">
        <v>18</v>
      </c>
      <c r="H4" t="str">
        <f>납품내역!A2</f>
        <v>납품일자</v>
      </c>
      <c r="I4" t="str">
        <f>납품내역!B2</f>
        <v>품목</v>
      </c>
      <c r="J4" t="str">
        <f>납품내역!C2</f>
        <v>납품수량</v>
      </c>
      <c r="K4" t="str">
        <f>납품내역!D2</f>
        <v>납품단가</v>
      </c>
      <c r="L4" t="str">
        <f>납품내역!E2</f>
        <v>납품액</v>
      </c>
    </row>
    <row r="5" spans="1:12" ht="17.25" thickTop="1" x14ac:dyDescent="0.3">
      <c r="H5" s="4">
        <v>45641</v>
      </c>
      <c r="I5" s="5" t="s">
        <v>9</v>
      </c>
      <c r="J5" s="5">
        <v>13</v>
      </c>
      <c r="K5" s="5">
        <v>4000</v>
      </c>
      <c r="L5" s="5">
        <v>52000</v>
      </c>
    </row>
    <row r="6" spans="1:12" x14ac:dyDescent="0.3">
      <c r="H6" s="4"/>
      <c r="I6" s="5"/>
      <c r="J6" s="5"/>
      <c r="K6" s="5"/>
      <c r="L6" s="5"/>
    </row>
    <row r="7" spans="1:12" x14ac:dyDescent="0.3">
      <c r="H7" s="4"/>
      <c r="I7" s="5"/>
      <c r="J7" s="5"/>
      <c r="K7" s="5"/>
      <c r="L7" s="5"/>
    </row>
    <row r="8" spans="1:12" x14ac:dyDescent="0.3">
      <c r="A8" t="s">
        <v>19</v>
      </c>
      <c r="B8" s="9" t="s">
        <v>19</v>
      </c>
      <c r="C8" t="s">
        <v>20</v>
      </c>
      <c r="H8" s="4"/>
      <c r="I8" s="5"/>
      <c r="J8" s="5"/>
      <c r="K8" s="5"/>
      <c r="L8" s="5"/>
    </row>
    <row r="9" spans="1:12" x14ac:dyDescent="0.3">
      <c r="H9" s="4"/>
      <c r="I9" s="5"/>
      <c r="J9" s="5"/>
      <c r="K9" s="5"/>
      <c r="L9" s="5"/>
    </row>
    <row r="10" spans="1:12" x14ac:dyDescent="0.3">
      <c r="H10" s="4"/>
      <c r="I10" s="5"/>
      <c r="J10" s="5"/>
      <c r="K10" s="5"/>
      <c r="L10" s="5"/>
    </row>
    <row r="11" spans="1:12" x14ac:dyDescent="0.3">
      <c r="H11" s="4"/>
      <c r="I11" s="5"/>
      <c r="J11" s="5"/>
      <c r="K11" s="5"/>
      <c r="L11" s="5"/>
    </row>
    <row r="12" spans="1:12" x14ac:dyDescent="0.3">
      <c r="H12" s="4"/>
      <c r="I12" s="5"/>
      <c r="J12" s="5"/>
      <c r="K12" s="5"/>
      <c r="L12" s="5"/>
    </row>
    <row r="13" spans="1:12" x14ac:dyDescent="0.3">
      <c r="H13" s="4"/>
      <c r="I13" s="5"/>
      <c r="J13" s="5"/>
      <c r="K13" s="5"/>
      <c r="L13" s="5"/>
    </row>
    <row r="14" spans="1:12" x14ac:dyDescent="0.3">
      <c r="H14" s="4"/>
      <c r="I14" s="5"/>
      <c r="J14" s="5"/>
      <c r="K14" s="5"/>
      <c r="L14" s="5"/>
    </row>
    <row r="15" spans="1:12" x14ac:dyDescent="0.3">
      <c r="H15" s="4"/>
      <c r="I15" s="5"/>
      <c r="J15" s="5"/>
      <c r="K15" s="5"/>
      <c r="L15" s="5"/>
    </row>
    <row r="16" spans="1:12" x14ac:dyDescent="0.3">
      <c r="H16" s="4"/>
      <c r="I16" s="5"/>
      <c r="J16" s="5"/>
      <c r="K16" s="5"/>
      <c r="L16" s="5"/>
    </row>
    <row r="17" spans="8:12" x14ac:dyDescent="0.3">
      <c r="H17" s="4"/>
      <c r="I17" s="5"/>
      <c r="J17" s="5"/>
      <c r="K17" s="5"/>
      <c r="L17" s="5"/>
    </row>
    <row r="18" spans="8:12" x14ac:dyDescent="0.3">
      <c r="H18" s="4"/>
      <c r="I18" s="5"/>
      <c r="J18" s="5"/>
      <c r="K18" s="5"/>
      <c r="L18" s="5"/>
    </row>
  </sheetData>
  <mergeCells count="2">
    <mergeCell ref="D1:F1"/>
    <mergeCell ref="D2:E2"/>
  </mergeCells>
  <phoneticPr fontId="1" type="noConversion"/>
  <dataValidations count="1">
    <dataValidation type="list" allowBlank="1" showInputMessage="1" showErrorMessage="1" sqref="C1">
      <formula1>"김밥,떡볶이,만두,순대"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매크로5">
                <anchor moveWithCells="1">
                  <from>
                    <xdr:col>8</xdr:col>
                    <xdr:colOff>190500</xdr:colOff>
                    <xdr:row>0</xdr:row>
                    <xdr:rowOff>38100</xdr:rowOff>
                  </from>
                  <to>
                    <xdr:col>8</xdr:col>
                    <xdr:colOff>647700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A4" sqref="A4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2</vt:i4>
      </vt:variant>
    </vt:vector>
  </HeadingPairs>
  <TitlesOfParts>
    <vt:vector size="5" baseType="lpstr">
      <vt:lpstr>납품내역</vt:lpstr>
      <vt:lpstr>품목별조회</vt:lpstr>
      <vt:lpstr>Sheet3</vt:lpstr>
      <vt:lpstr>품목별조회!Criteria</vt:lpstr>
      <vt:lpstr>품목별조회!Extract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xlwhy.com</dc:creator>
  <cp:lastModifiedBy>xlwhy.com</cp:lastModifiedBy>
  <dcterms:created xsi:type="dcterms:W3CDTF">2024-08-15T20:00:43Z</dcterms:created>
  <dcterms:modified xsi:type="dcterms:W3CDTF">2024-08-20T20:15:47Z</dcterms:modified>
</cp:coreProperties>
</file>