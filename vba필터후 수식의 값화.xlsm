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375" windowWidth="16995" windowHeight="1026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Sheet1!$A$10:$D$33</definedName>
  </definedNames>
  <calcPr calcId="145621"/>
</workbook>
</file>

<file path=xl/calcChain.xml><?xml version="1.0" encoding="utf-8"?>
<calcChain xmlns="http://schemas.openxmlformats.org/spreadsheetml/2006/main">
  <c r="E33" i="1" l="1"/>
  <c r="E32" i="1"/>
  <c r="E31" i="1"/>
  <c r="E30" i="1"/>
  <c r="E27" i="1"/>
  <c r="E24" i="1"/>
  <c r="E22" i="1"/>
  <c r="E21" i="1"/>
  <c r="E20" i="1"/>
  <c r="E19" i="1"/>
  <c r="E18" i="1"/>
  <c r="E17" i="1"/>
  <c r="E15" i="1"/>
  <c r="E16" i="1" l="1"/>
</calcChain>
</file>

<file path=xl/sharedStrings.xml><?xml version="1.0" encoding="utf-8"?>
<sst xmlns="http://schemas.openxmlformats.org/spreadsheetml/2006/main" count="87" uniqueCount="44">
  <si>
    <t>성명</t>
    <phoneticPr fontId="1" type="noConversion"/>
  </si>
  <si>
    <t>윤동주</t>
  </si>
  <si>
    <t>을지문덕</t>
  </si>
  <si>
    <t>서희</t>
  </si>
  <si>
    <t>이순신</t>
  </si>
  <si>
    <t>최충</t>
  </si>
  <si>
    <t>장보고</t>
  </si>
  <si>
    <t>이황</t>
  </si>
  <si>
    <t>신사임당</t>
  </si>
  <si>
    <t>홍대용</t>
  </si>
  <si>
    <t>남궁옥분</t>
  </si>
  <si>
    <t>이이</t>
  </si>
  <si>
    <t>박문수</t>
  </si>
  <si>
    <t>관창</t>
  </si>
  <si>
    <t>홍경래</t>
  </si>
  <si>
    <t>황희</t>
  </si>
  <si>
    <t>황진이</t>
  </si>
  <si>
    <t>논개</t>
  </si>
  <si>
    <t>한석봉</t>
  </si>
  <si>
    <t>장영실</t>
  </si>
  <si>
    <t>권율</t>
  </si>
  <si>
    <t>전봉준</t>
  </si>
  <si>
    <t>임꺽정</t>
  </si>
  <si>
    <t>정약용</t>
  </si>
  <si>
    <t>당해</t>
  </si>
  <si>
    <t>가점제</t>
  </si>
  <si>
    <t>추첨제</t>
  </si>
  <si>
    <t>구분</t>
    <phoneticPr fontId="1" type="noConversion"/>
  </si>
  <si>
    <t>당해여부</t>
    <phoneticPr fontId="1" type="noConversion"/>
  </si>
  <si>
    <t>가점</t>
  </si>
  <si>
    <t>분당구</t>
  </si>
  <si>
    <t>최*</t>
  </si>
  <si>
    <t>REPLACE(A15,LEN(A15),1,"*")</t>
    <phoneticPr fontId="1" type="noConversion"/>
  </si>
  <si>
    <t>이*</t>
  </si>
  <si>
    <t>신사임*</t>
  </si>
  <si>
    <t>홍대*</t>
  </si>
  <si>
    <t>남궁옥*</t>
  </si>
  <si>
    <t>박문*</t>
  </si>
  <si>
    <t>홍경*</t>
  </si>
  <si>
    <t>논*</t>
  </si>
  <si>
    <t>권*</t>
  </si>
  <si>
    <t>전봉*</t>
  </si>
  <si>
    <t>임꺽*</t>
  </si>
  <si>
    <t>정약*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</si>
</sst>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top"/>
    </xf>
    <xf numFmtId="0" fontId="0" fillId="0" borderId="0" xfId="0" quotePrefix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9</xdr:row>
          <xdr:rowOff>95250</xdr:rowOff>
        </xdr:from>
        <xdr:to>
          <xdr:col>8</xdr:col>
          <xdr:colOff>28575</xdr:colOff>
          <xdr:row>9</xdr:row>
          <xdr:rowOff>352425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2:F33"/>
  <sheetViews>
    <sheetView tabSelected="1" workbookViewId="0">
      <selection activeCell="G17" sqref="G17"/>
    </sheetView>
  </sheetViews>
  <sheetFormatPr defaultRowHeight="16.5" x14ac:dyDescent="0.3"/>
  <cols>
    <col min="2" max="2" width="11" bestFit="1" customWidth="1"/>
  </cols>
  <sheetData>
    <row r="2" spans="1:6" hidden="1" x14ac:dyDescent="0.3"/>
    <row r="3" spans="1:6" hidden="1" x14ac:dyDescent="0.3"/>
    <row r="4" spans="1:6" hidden="1" x14ac:dyDescent="0.3"/>
    <row r="5" spans="1:6" hidden="1" x14ac:dyDescent="0.3"/>
    <row r="6" spans="1:6" hidden="1" x14ac:dyDescent="0.3"/>
    <row r="7" spans="1:6" hidden="1" x14ac:dyDescent="0.3"/>
    <row r="8" spans="1:6" hidden="1" x14ac:dyDescent="0.3"/>
    <row r="9" spans="1:6" hidden="1" x14ac:dyDescent="0.3"/>
    <row r="10" spans="1:6" ht="33" customHeight="1" x14ac:dyDescent="0.3">
      <c r="A10" s="1" t="s">
        <v>0</v>
      </c>
      <c r="B10" s="1" t="s">
        <v>28</v>
      </c>
      <c r="C10" s="1" t="s">
        <v>27</v>
      </c>
      <c r="D10" s="1" t="s">
        <v>29</v>
      </c>
      <c r="E10" t="s">
        <v>32</v>
      </c>
    </row>
    <row r="11" spans="1:6" hidden="1" x14ac:dyDescent="0.3">
      <c r="A11" t="s">
        <v>1</v>
      </c>
      <c r="B11" t="s">
        <v>30</v>
      </c>
      <c r="C11" t="s">
        <v>25</v>
      </c>
      <c r="D11">
        <v>73</v>
      </c>
    </row>
    <row r="12" spans="1:6" hidden="1" x14ac:dyDescent="0.3">
      <c r="A12" t="s">
        <v>2</v>
      </c>
      <c r="B12" t="s">
        <v>30</v>
      </c>
      <c r="C12" t="s">
        <v>25</v>
      </c>
      <c r="D12">
        <v>73</v>
      </c>
    </row>
    <row r="13" spans="1:6" hidden="1" x14ac:dyDescent="0.3">
      <c r="A13" t="s">
        <v>3</v>
      </c>
      <c r="B13" t="s">
        <v>30</v>
      </c>
      <c r="C13" t="s">
        <v>25</v>
      </c>
      <c r="D13">
        <v>73</v>
      </c>
    </row>
    <row r="14" spans="1:6" hidden="1" x14ac:dyDescent="0.3">
      <c r="A14" t="s">
        <v>4</v>
      </c>
      <c r="B14" t="s">
        <v>30</v>
      </c>
      <c r="C14" t="s">
        <v>25</v>
      </c>
      <c r="D14">
        <v>68</v>
      </c>
    </row>
    <row r="15" spans="1:6" ht="16.5" customHeight="1" x14ac:dyDescent="0.3">
      <c r="A15" t="s">
        <v>5</v>
      </c>
      <c r="B15" t="s">
        <v>24</v>
      </c>
      <c r="C15" t="s">
        <v>26</v>
      </c>
      <c r="D15">
        <v>20</v>
      </c>
      <c r="E15" s="2" t="str">
        <f>REPLACE(A15,LEN(A15),1,"*")</f>
        <v>최*</v>
      </c>
      <c r="F15" t="s">
        <v>31</v>
      </c>
    </row>
    <row r="16" spans="1:6" ht="16.5" hidden="1" customHeight="1" x14ac:dyDescent="0.3">
      <c r="A16" t="s">
        <v>6</v>
      </c>
      <c r="B16" t="s">
        <v>30</v>
      </c>
      <c r="C16" t="s">
        <v>25</v>
      </c>
      <c r="D16">
        <v>70</v>
      </c>
      <c r="E16">
        <f>D16</f>
        <v>70</v>
      </c>
    </row>
    <row r="17" spans="1:6" ht="16.5" customHeight="1" x14ac:dyDescent="0.3">
      <c r="A17" t="s">
        <v>7</v>
      </c>
      <c r="B17" t="s">
        <v>24</v>
      </c>
      <c r="C17" t="s">
        <v>25</v>
      </c>
      <c r="D17">
        <v>62</v>
      </c>
      <c r="E17" s="2" t="str">
        <f t="shared" ref="E17:E22" si="0">REPLACE(A17,LEN(A17),1,"*")</f>
        <v>이*</v>
      </c>
      <c r="F17" t="s">
        <v>33</v>
      </c>
    </row>
    <row r="18" spans="1:6" x14ac:dyDescent="0.3">
      <c r="A18" t="s">
        <v>8</v>
      </c>
      <c r="B18" t="s">
        <v>24</v>
      </c>
      <c r="C18" t="s">
        <v>25</v>
      </c>
      <c r="D18">
        <v>63</v>
      </c>
      <c r="E18" s="2" t="str">
        <f t="shared" si="0"/>
        <v>신사임*</v>
      </c>
      <c r="F18" t="s">
        <v>34</v>
      </c>
    </row>
    <row r="19" spans="1:6" x14ac:dyDescent="0.3">
      <c r="A19" t="s">
        <v>9</v>
      </c>
      <c r="B19" t="s">
        <v>24</v>
      </c>
      <c r="C19" t="s">
        <v>25</v>
      </c>
      <c r="D19">
        <v>63</v>
      </c>
      <c r="E19" s="2" t="str">
        <f t="shared" si="0"/>
        <v>홍대*</v>
      </c>
      <c r="F19" t="s">
        <v>35</v>
      </c>
    </row>
    <row r="20" spans="1:6" x14ac:dyDescent="0.3">
      <c r="A20" t="s">
        <v>10</v>
      </c>
      <c r="B20" t="s">
        <v>24</v>
      </c>
      <c r="C20" t="s">
        <v>25</v>
      </c>
      <c r="D20">
        <v>63</v>
      </c>
      <c r="E20" s="2" t="str">
        <f t="shared" si="0"/>
        <v>남궁옥*</v>
      </c>
      <c r="F20" t="s">
        <v>36</v>
      </c>
    </row>
    <row r="21" spans="1:6" x14ac:dyDescent="0.3">
      <c r="A21" t="s">
        <v>11</v>
      </c>
      <c r="B21" t="s">
        <v>24</v>
      </c>
      <c r="C21" t="s">
        <v>25</v>
      </c>
      <c r="D21">
        <v>63</v>
      </c>
      <c r="E21" s="2" t="str">
        <f t="shared" si="0"/>
        <v>이*</v>
      </c>
      <c r="F21" t="s">
        <v>33</v>
      </c>
    </row>
    <row r="22" spans="1:6" x14ac:dyDescent="0.3">
      <c r="A22" t="s">
        <v>12</v>
      </c>
      <c r="B22" t="s">
        <v>24</v>
      </c>
      <c r="C22" t="s">
        <v>25</v>
      </c>
      <c r="D22">
        <v>63</v>
      </c>
      <c r="E22" s="2" t="str">
        <f t="shared" si="0"/>
        <v>박문*</v>
      </c>
      <c r="F22" t="s">
        <v>37</v>
      </c>
    </row>
    <row r="23" spans="1:6" hidden="1" x14ac:dyDescent="0.3">
      <c r="A23" t="s">
        <v>13</v>
      </c>
      <c r="B23" t="s">
        <v>30</v>
      </c>
      <c r="C23" t="s">
        <v>26</v>
      </c>
      <c r="D23">
        <v>9</v>
      </c>
    </row>
    <row r="24" spans="1:6" x14ac:dyDescent="0.3">
      <c r="A24" t="s">
        <v>14</v>
      </c>
      <c r="B24" t="s">
        <v>24</v>
      </c>
      <c r="C24" t="s">
        <v>26</v>
      </c>
      <c r="D24">
        <v>43</v>
      </c>
      <c r="E24" s="2" t="str">
        <f>REPLACE(A24,LEN(A24),1,"*")</f>
        <v>홍경*</v>
      </c>
      <c r="F24" t="s">
        <v>38</v>
      </c>
    </row>
    <row r="25" spans="1:6" hidden="1" x14ac:dyDescent="0.3">
      <c r="A25" t="s">
        <v>15</v>
      </c>
      <c r="B25" t="s">
        <v>30</v>
      </c>
      <c r="C25" t="s">
        <v>26</v>
      </c>
      <c r="D25">
        <v>34</v>
      </c>
    </row>
    <row r="26" spans="1:6" hidden="1" x14ac:dyDescent="0.3">
      <c r="A26" t="s">
        <v>16</v>
      </c>
      <c r="B26" t="s">
        <v>30</v>
      </c>
      <c r="C26" t="s">
        <v>26</v>
      </c>
      <c r="D26">
        <v>41</v>
      </c>
    </row>
    <row r="27" spans="1:6" x14ac:dyDescent="0.3">
      <c r="A27" t="s">
        <v>17</v>
      </c>
      <c r="B27" t="s">
        <v>24</v>
      </c>
      <c r="C27" t="s">
        <v>25</v>
      </c>
      <c r="D27">
        <v>62</v>
      </c>
      <c r="E27" s="2" t="str">
        <f>REPLACE(A27,LEN(A27),1,"*")</f>
        <v>논*</v>
      </c>
      <c r="F27" t="s">
        <v>39</v>
      </c>
    </row>
    <row r="28" spans="1:6" hidden="1" x14ac:dyDescent="0.3">
      <c r="A28" t="s">
        <v>18</v>
      </c>
      <c r="B28" t="s">
        <v>30</v>
      </c>
      <c r="C28" t="s">
        <v>26</v>
      </c>
      <c r="D28">
        <v>12</v>
      </c>
    </row>
    <row r="29" spans="1:6" hidden="1" x14ac:dyDescent="0.3">
      <c r="A29" t="s">
        <v>19</v>
      </c>
      <c r="B29" t="s">
        <v>30</v>
      </c>
      <c r="C29" t="s">
        <v>25</v>
      </c>
      <c r="D29">
        <v>71</v>
      </c>
    </row>
    <row r="30" spans="1:6" x14ac:dyDescent="0.3">
      <c r="A30" t="s">
        <v>20</v>
      </c>
      <c r="B30" t="s">
        <v>24</v>
      </c>
      <c r="C30" t="s">
        <v>25</v>
      </c>
      <c r="D30">
        <v>61</v>
      </c>
      <c r="E30" s="2" t="str">
        <f t="shared" ref="E30:E33" si="1">REPLACE(A30,LEN(A30),1,"*")</f>
        <v>권*</v>
      </c>
      <c r="F30" t="s">
        <v>40</v>
      </c>
    </row>
    <row r="31" spans="1:6" x14ac:dyDescent="0.3">
      <c r="A31" t="s">
        <v>21</v>
      </c>
      <c r="B31" t="s">
        <v>24</v>
      </c>
      <c r="C31" t="s">
        <v>25</v>
      </c>
      <c r="D31">
        <v>62</v>
      </c>
      <c r="E31" s="2" t="str">
        <f t="shared" si="1"/>
        <v>전봉*</v>
      </c>
      <c r="F31" t="s">
        <v>41</v>
      </c>
    </row>
    <row r="32" spans="1:6" x14ac:dyDescent="0.3">
      <c r="A32" t="s">
        <v>22</v>
      </c>
      <c r="B32" t="s">
        <v>24</v>
      </c>
      <c r="C32" t="s">
        <v>25</v>
      </c>
      <c r="D32">
        <v>62</v>
      </c>
      <c r="E32" s="2" t="str">
        <f t="shared" si="1"/>
        <v>임꺽*</v>
      </c>
      <c r="F32" t="s">
        <v>42</v>
      </c>
    </row>
    <row r="33" spans="1:6" x14ac:dyDescent="0.3">
      <c r="A33" t="s">
        <v>23</v>
      </c>
      <c r="B33" t="s">
        <v>24</v>
      </c>
      <c r="C33" t="s">
        <v>25</v>
      </c>
      <c r="D33">
        <v>62</v>
      </c>
      <c r="E33" s="2" t="str">
        <f t="shared" si="1"/>
        <v>정약*</v>
      </c>
      <c r="F33" t="s">
        <v>43</v>
      </c>
    </row>
  </sheetData>
  <autoFilter ref="A10:D33">
    <filterColumn colId="1">
      <filters>
        <filter val="당해"/>
      </filters>
    </filterColumn>
  </autoFilter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단추5_Click">
                <anchor moveWithCells="1">
                  <from>
                    <xdr:col>7</xdr:col>
                    <xdr:colOff>257175</xdr:colOff>
                    <xdr:row>9</xdr:row>
                    <xdr:rowOff>95250</xdr:rowOff>
                  </from>
                  <to>
                    <xdr:col>8</xdr:col>
                    <xdr:colOff>28575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xlwhy.com</dc:creator>
  <cp:lastModifiedBy>xlwhy.com</cp:lastModifiedBy>
  <dcterms:created xsi:type="dcterms:W3CDTF">2024-12-22T09:48:31Z</dcterms:created>
  <dcterms:modified xsi:type="dcterms:W3CDTF">2024-12-22T21:17:49Z</dcterms:modified>
</cp:coreProperties>
</file>