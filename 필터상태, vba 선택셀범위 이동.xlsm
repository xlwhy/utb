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2775" yWindow="135" windowWidth="21495" windowHeight="13350" activeTab="1"/>
  </bookViews>
  <sheets>
    <sheet name="상품명" sheetId="1" r:id="rId1"/>
    <sheet name="Sheet1" sheetId="2" r:id="rId2"/>
  </sheets>
  <definedNames>
    <definedName name="_xlnm._FilterDatabase" localSheetId="1" hidden="1">Sheet1!$B$3:$H$43</definedName>
    <definedName name="_xlnm._FilterDatabase" localSheetId="0" hidden="1">상품명!$A$1:$B$1117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2" l="1"/>
  <c r="G17" i="2"/>
  <c r="F41" i="2"/>
  <c r="G32" i="2"/>
  <c r="F32" i="2"/>
  <c r="G28" i="2"/>
  <c r="F28" i="2"/>
  <c r="G25" i="2"/>
  <c r="F25" i="2"/>
  <c r="G21" i="2"/>
  <c r="F21" i="2"/>
  <c r="F17" i="2"/>
  <c r="G9" i="2"/>
  <c r="F9" i="2"/>
  <c r="H5" i="2"/>
  <c r="H6" i="2" s="1"/>
  <c r="H7" i="2" s="1"/>
  <c r="H8" i="2" s="1"/>
  <c r="F10" i="2" s="1"/>
  <c r="H10" i="2" s="1"/>
  <c r="H11" i="2" s="1"/>
  <c r="H12" i="2" s="1"/>
  <c r="H13" i="2" s="1"/>
  <c r="H14" i="2" s="1"/>
  <c r="H15" i="2" s="1"/>
  <c r="H16" i="2" s="1"/>
  <c r="F18" i="2" s="1"/>
  <c r="H18" i="2" s="1"/>
  <c r="H19" i="2" s="1"/>
  <c r="H20" i="2" s="1"/>
  <c r="F22" i="2" s="1"/>
  <c r="H22" i="2" s="1"/>
  <c r="H23" i="2" s="1"/>
  <c r="H24" i="2" s="1"/>
  <c r="F26" i="2" s="1"/>
  <c r="H26" i="2" s="1"/>
  <c r="H27" i="2" s="1"/>
  <c r="F29" i="2" s="1"/>
  <c r="H29" i="2" s="1"/>
  <c r="H30" i="2" s="1"/>
  <c r="H31" i="2" s="1"/>
  <c r="F33" i="2" s="1"/>
  <c r="H33" i="2" s="1"/>
  <c r="H34" i="2" s="1"/>
  <c r="H35" i="2" s="1"/>
  <c r="H36" i="2" s="1"/>
  <c r="H37" i="2" s="1"/>
  <c r="G43" i="2" l="1"/>
  <c r="H38" i="2"/>
  <c r="H39" i="2" s="1"/>
  <c r="H40" i="2" s="1"/>
  <c r="F42" i="2" s="1"/>
  <c r="H42" i="2" s="1"/>
  <c r="F43" i="2" l="1"/>
  <c r="H43" i="2" s="1"/>
</calcChain>
</file>

<file path=xl/sharedStrings.xml><?xml version="1.0" encoding="utf-8"?>
<sst xmlns="http://schemas.openxmlformats.org/spreadsheetml/2006/main" count="645" uniqueCount="481">
  <si>
    <t>바뀐상품명</t>
    <phoneticPr fontId="2" type="noConversion"/>
  </si>
  <si>
    <t>국내산홍갓무김치2kg/선김치/손수담은 가정식김치</t>
  </si>
  <si>
    <t>착한 홍갓무김치 2kg(숙성)</t>
    <phoneticPr fontId="2" type="noConversion"/>
  </si>
  <si>
    <t>착한 포기김치 7kg</t>
  </si>
  <si>
    <t>착한 포기김치 5kg</t>
  </si>
  <si>
    <t>착한 포기김치 3kg</t>
    <phoneticPr fontId="6" type="noConversion"/>
  </si>
  <si>
    <t>착한 포기김치 3kg+석박지 1kg</t>
    <phoneticPr fontId="2" type="noConversion"/>
  </si>
  <si>
    <t>착한 포기김치 10kg</t>
  </si>
  <si>
    <t>착한 파김치 3kg</t>
  </si>
  <si>
    <t>착한 파김치 2kg</t>
  </si>
  <si>
    <t>착한 파김치 2kg</t>
    <phoneticPr fontId="2" type="noConversion"/>
  </si>
  <si>
    <t>착한 토하젓 500g</t>
  </si>
  <si>
    <t>착한 토하젓 300g</t>
  </si>
  <si>
    <t>착한 코다리조림 630g</t>
    <phoneticPr fontId="2" type="noConversion"/>
  </si>
  <si>
    <t>착한 총각김치 3kg</t>
    <phoneticPr fontId="2" type="noConversion"/>
  </si>
  <si>
    <t>착한 총각김치 2kg</t>
  </si>
  <si>
    <t>착한 총각김치 5kg</t>
    <phoneticPr fontId="2" type="noConversion"/>
  </si>
  <si>
    <t>착한 총각김치 3kg</t>
  </si>
  <si>
    <t>착한 조선갓김치 3kg</t>
  </si>
  <si>
    <t>착한 조선갓김치 2kg</t>
    <phoneticPr fontId="2" type="noConversion"/>
  </si>
  <si>
    <t>착한 우엉조림 200g</t>
  </si>
  <si>
    <t>착한 오징어실채볶음 150g</t>
    <phoneticPr fontId="2" type="noConversion"/>
  </si>
  <si>
    <t>착한 여수갓김치 2kg</t>
    <phoneticPr fontId="2" type="noConversion"/>
  </si>
  <si>
    <t>착한 얼갈이김치 3kg</t>
    <phoneticPr fontId="2" type="noConversion"/>
  </si>
  <si>
    <t>착한 얼갈이김치 5kg</t>
    <phoneticPr fontId="2" type="noConversion"/>
  </si>
  <si>
    <t>착한 얼갈이김치 3kg</t>
  </si>
  <si>
    <t>착한 얼갈이김치 2kg</t>
    <phoneticPr fontId="2" type="noConversion"/>
  </si>
  <si>
    <t>착한 얼갈이김치 2kg</t>
  </si>
  <si>
    <t>착한 석박지 5kg</t>
  </si>
  <si>
    <t>착한 석박지 3kg</t>
  </si>
  <si>
    <t>착한 생굴김치 2.3kg(김치2kg+생굴300g)</t>
  </si>
  <si>
    <t>착한 생굴김치 2.3kg(김치2kg+생굴300g)</t>
    <phoneticPr fontId="2" type="noConversion"/>
  </si>
  <si>
    <t>착한 생굴김치 3.5kg(김치3kg+생굴500g)</t>
  </si>
  <si>
    <t>착한 부추김치 2kg</t>
  </si>
  <si>
    <t>착한 백김치 2kg</t>
    <phoneticPr fontId="2" type="noConversion"/>
  </si>
  <si>
    <t>착한 포기김치 3kg</t>
  </si>
  <si>
    <t>착한 포기김치 2kg</t>
  </si>
  <si>
    <t>착한 모둠견과조림 200g</t>
  </si>
  <si>
    <t>착한 명엽채볶음 150g</t>
  </si>
  <si>
    <t>착한 동치미 3kg</t>
  </si>
  <si>
    <t>착한 동치미 2kg</t>
    <phoneticPr fontId="2" type="noConversion"/>
  </si>
  <si>
    <t>착한 낙지젓 300g</t>
    <phoneticPr fontId="2" type="noConversion"/>
  </si>
  <si>
    <t>착한 낙지젓 500g</t>
    <phoneticPr fontId="2" type="noConversion"/>
  </si>
  <si>
    <t>착한 고추장멸치볶음 150g</t>
  </si>
  <si>
    <t>착한 간장깻잎 1kg</t>
  </si>
  <si>
    <t>영광 법성포굴비2호(19cm내외,1.6kg)(용량=20미(19cm내외))</t>
  </si>
  <si>
    <t>영광 법성포굴비2호 1.6kg</t>
    <phoneticPr fontId="2" type="noConversion"/>
  </si>
  <si>
    <t>착한 포기김치 1kg착한 총각김치 1kg</t>
    <phoneticPr fontId="2" type="noConversion"/>
  </si>
  <si>
    <t>착한 포기김치 1kg착한 얼갈이김치 1kg</t>
    <phoneticPr fontId="2" type="noConversion"/>
  </si>
  <si>
    <t>착한 파김치 1kg착한 백김치 2kg</t>
    <phoneticPr fontId="2" type="noConversion"/>
  </si>
  <si>
    <t>맛있는 수제 전라도 가정식 홍어무침 750g</t>
  </si>
  <si>
    <t>착한 홍어무침 750g</t>
    <phoneticPr fontId="6" type="noConversion"/>
  </si>
  <si>
    <t>맛있는 수제 전라도 가정식 코다리 조림 630g</t>
  </si>
  <si>
    <t>착한 파김치 1.5kg</t>
    <phoneticPr fontId="2" type="noConversion"/>
  </si>
  <si>
    <t>착한 석박지 1.5kg</t>
    <phoneticPr fontId="2" type="noConversion"/>
  </si>
  <si>
    <t>착한 석박지 5kg</t>
    <phoneticPr fontId="2" type="noConversion"/>
  </si>
  <si>
    <t>착한 조선갓김치 3kg</t>
    <phoneticPr fontId="2" type="noConversion"/>
  </si>
  <si>
    <t>착한 여수갓김치 3kg</t>
  </si>
  <si>
    <t>착한 포기김치 10kg</t>
    <phoneticPr fontId="2" type="noConversion"/>
  </si>
  <si>
    <t>착한 포기김치 1kg착한 석박지 1kg</t>
    <phoneticPr fontId="2" type="noConversion"/>
  </si>
  <si>
    <t>착한 홍어무침 750g</t>
  </si>
  <si>
    <t>착한 포기김치 5kg+석박지 1kg</t>
    <phoneticPr fontId="2" type="noConversion"/>
  </si>
  <si>
    <t>착한 다발무김치 2kg</t>
    <phoneticPr fontId="2" type="noConversion"/>
  </si>
  <si>
    <t>착한 조선갓김치 5kg</t>
    <phoneticPr fontId="2" type="noConversion"/>
  </si>
  <si>
    <t>착한 포기김치 3kg+석박지 2kg</t>
    <phoneticPr fontId="2" type="noConversion"/>
  </si>
  <si>
    <t>착한 다발무김치 3kg</t>
    <phoneticPr fontId="2" type="noConversion"/>
  </si>
  <si>
    <t>착한 오징어젓 500g</t>
    <phoneticPr fontId="2" type="noConversion"/>
  </si>
  <si>
    <t>착한 연근조림 200g</t>
  </si>
  <si>
    <t>착한 잔멸치볶음 150g</t>
  </si>
  <si>
    <t>착한 여수갓김치 5kg</t>
  </si>
  <si>
    <t>착한 얼갈이김치 5kg</t>
  </si>
  <si>
    <t>착한 포기김치 1.5kg</t>
    <phoneticPr fontId="2" type="noConversion"/>
  </si>
  <si>
    <t>착한 다발무김치 1.5kg</t>
    <phoneticPr fontId="2" type="noConversion"/>
  </si>
  <si>
    <t>착한파김치(1kg), ②김치=착한총각김치(1kg))</t>
  </si>
  <si>
    <t>착한 포기김치 2kg</t>
    <phoneticPr fontId="2" type="noConversion"/>
  </si>
  <si>
    <t>착한파김치 1kg</t>
    <phoneticPr fontId="2" type="noConversion"/>
  </si>
  <si>
    <t>착한 생굴김치 3.5kg(김치3kg+생굴500g)</t>
    <phoneticPr fontId="2" type="noConversion"/>
  </si>
  <si>
    <t>착한 총각김치 2kg</t>
    <phoneticPr fontId="2" type="noConversion"/>
  </si>
  <si>
    <t>맛있는 수제 전라도 가정식 국내산 총각김치 5kg</t>
  </si>
  <si>
    <t>100%국내산얼갈이김치2kg/선김치/손수담은가정식 김치</t>
  </si>
  <si>
    <t>착한 간장깻잎 1kg</t>
    <phoneticPr fontId="2" type="noConversion"/>
  </si>
  <si>
    <t>착한 포기김치 3kg</t>
    <phoneticPr fontId="2" type="noConversion"/>
  </si>
  <si>
    <t>착한 부추김치 1.5kg</t>
    <phoneticPr fontId="2" type="noConversion"/>
  </si>
  <si>
    <t>맛있는 수제 전라도 가정식 삭힌 숙성 홍어무침 750g</t>
    <phoneticPr fontId="2" type="noConversion"/>
  </si>
  <si>
    <t>착한 홍어무침 750g</t>
    <phoneticPr fontId="2" type="noConversion"/>
  </si>
  <si>
    <t>100%국내산 파김치2kg/선김치/손수담은 가정식김치</t>
    <phoneticPr fontId="2" type="noConversion"/>
  </si>
  <si>
    <t>100%국내산여수갓김치3kg/선김치/손수담은 가정식김치</t>
    <phoneticPr fontId="2" type="noConversion"/>
  </si>
  <si>
    <t>착한 여수갓김치 3kg</t>
    <phoneticPr fontId="2" type="noConversion"/>
  </si>
  <si>
    <t>착한 오징어젓 300g</t>
    <phoneticPr fontId="2" type="noConversion"/>
  </si>
  <si>
    <t>착한 동치미 5kg</t>
    <phoneticPr fontId="2" type="noConversion"/>
  </si>
  <si>
    <t>착한 포기김치 20kg</t>
    <phoneticPr fontId="2" type="noConversion"/>
  </si>
  <si>
    <t>착한 홍갓무김치 1.5kg(숙성)</t>
    <phoneticPr fontId="2" type="noConversion"/>
  </si>
  <si>
    <t>맛있는 수제 전라도 가정식 삭힌 홍어무침 750g</t>
  </si>
  <si>
    <t>영광 법성포굴비1호(17cm내외,1.4kg)(용량=20미(17cm내외))</t>
    <phoneticPr fontId="2" type="noConversion"/>
  </si>
  <si>
    <t>영광 법성포굴비 1호 1.4kg</t>
    <phoneticPr fontId="2" type="noConversion"/>
  </si>
  <si>
    <t>착한 진미채볶음 150g</t>
    <phoneticPr fontId="2" type="noConversion"/>
  </si>
  <si>
    <t>착한 총각김치 1kg착한 파김치 1kg</t>
    <phoneticPr fontId="2" type="noConversion"/>
  </si>
  <si>
    <t>착한 석박지 1kg착한 포기김치 1kg</t>
    <phoneticPr fontId="2" type="noConversion"/>
  </si>
  <si>
    <t>100%국내산부추김치2kg/선김치/손수담은가정식 김치</t>
  </si>
  <si>
    <t>착한 부추김치 2kg</t>
    <phoneticPr fontId="2" type="noConversion"/>
  </si>
  <si>
    <t>100%국내산총각김치2kg/선김치/손수담은 가정식김치</t>
  </si>
  <si>
    <t>착한 백김치 3kg</t>
    <phoneticPr fontId="2" type="noConversion"/>
  </si>
  <si>
    <t>착한 포기김치 5kg</t>
    <phoneticPr fontId="2" type="noConversion"/>
  </si>
  <si>
    <t>착한 석박지 3kg</t>
    <phoneticPr fontId="2" type="noConversion"/>
  </si>
  <si>
    <t>착한 얼갈이김치 1.5kg</t>
    <phoneticPr fontId="2" type="noConversion"/>
  </si>
  <si>
    <t>착한 석박지 2kg</t>
    <phoneticPr fontId="2" type="noConversion"/>
  </si>
  <si>
    <t>착한 열무&amp;얼갈이김치 5kg</t>
    <phoneticPr fontId="2" type="noConversion"/>
  </si>
  <si>
    <t>착한 열무&amp;얼갈이김치 2kg</t>
    <phoneticPr fontId="2" type="noConversion"/>
  </si>
  <si>
    <t>착한 열무&amp;얼갈이김치 3kg</t>
    <phoneticPr fontId="2" type="noConversion"/>
  </si>
  <si>
    <t>착한 열무김치 2kg</t>
    <phoneticPr fontId="2" type="noConversion"/>
  </si>
  <si>
    <t>착한 열무김치 3kg</t>
    <phoneticPr fontId="2" type="noConversion"/>
  </si>
  <si>
    <t>착한 열무김치 5kg</t>
    <phoneticPr fontId="2" type="noConversion"/>
  </si>
  <si>
    <t>착한 간장깻잎 3kg</t>
    <phoneticPr fontId="2" type="noConversion"/>
  </si>
  <si>
    <t>착한 꼴뚜기젓 300g</t>
    <phoneticPr fontId="2" type="noConversion"/>
  </si>
  <si>
    <t>100%국내산얼갈이김치5kg/선김치/손수담은가정식 김치</t>
  </si>
  <si>
    <t>착한 파김치 5kg</t>
    <phoneticPr fontId="2" type="noConversion"/>
  </si>
  <si>
    <t>착한 포기김치 10kg+석박지 1kg</t>
    <phoneticPr fontId="2" type="noConversion"/>
  </si>
  <si>
    <t>착한 포기김치 5kg+석박지 2kg</t>
    <phoneticPr fontId="2" type="noConversion"/>
  </si>
  <si>
    <t>착한 석박지 10kg</t>
    <phoneticPr fontId="2" type="noConversion"/>
  </si>
  <si>
    <t>착한 간장깻잎 2kg</t>
    <phoneticPr fontId="2" type="noConversion"/>
  </si>
  <si>
    <t>맛있는 수제 전라도 가정식 국내산 배추 포기김치 5kg</t>
  </si>
  <si>
    <t>100%국내산얼갈이김치3kg/선김치/손수담은가정식 김치</t>
  </si>
  <si>
    <t>착한 포기김치 10kg+석박지 2kg</t>
    <phoneticPr fontId="2" type="noConversion"/>
  </si>
  <si>
    <t>착한 백김치 5kg</t>
    <phoneticPr fontId="2" type="noConversion"/>
  </si>
  <si>
    <t>착한 홍갓무김치 3kg(숙성)</t>
    <phoneticPr fontId="2" type="noConversion"/>
  </si>
  <si>
    <t>착한 여수갓김치 1.5kg</t>
    <phoneticPr fontId="2" type="noConversion"/>
  </si>
  <si>
    <t>착한 총각김치 1.5kg</t>
    <phoneticPr fontId="2" type="noConversion"/>
  </si>
  <si>
    <t>착한 꼴뚜기젓 500g</t>
    <phoneticPr fontId="2" type="noConversion"/>
  </si>
  <si>
    <t>100%국내산총각김치5kg/선김치/손수담은 가정식김치</t>
  </si>
  <si>
    <t>100%국내산여수갓김치2kg/선김치/손수담은 가정식김치</t>
  </si>
  <si>
    <t>착한 파김치 3kg</t>
    <phoneticPr fontId="2" type="noConversion"/>
  </si>
  <si>
    <t>착한 홍갓무김치 5kg(숙성)</t>
    <phoneticPr fontId="2" type="noConversion"/>
  </si>
  <si>
    <t>100%국내산부추김치5kg/선김치/손수담은가정식 김치</t>
  </si>
  <si>
    <t>착한 부추김치 5kg</t>
    <phoneticPr fontId="2" type="noConversion"/>
  </si>
  <si>
    <t>100%국내산 포기김치5kg/선김치/손수담은 가정식 김치</t>
  </si>
  <si>
    <t>100%국내산총각김치3kg/선김치/손수담은 가정식김치</t>
  </si>
  <si>
    <t>착한 부추김치 3kg</t>
    <phoneticPr fontId="2" type="noConversion"/>
  </si>
  <si>
    <t>착한 포기김치 7kg+석박지 2kg</t>
    <phoneticPr fontId="2" type="noConversion"/>
  </si>
  <si>
    <t>착한 토하젓 500g</t>
    <phoneticPr fontId="2" type="noConversion"/>
  </si>
  <si>
    <t>착한 묵은김치 3kg</t>
    <phoneticPr fontId="2" type="noConversion"/>
  </si>
  <si>
    <t>착한 묵은김치 5kg</t>
    <phoneticPr fontId="2" type="noConversion"/>
  </si>
  <si>
    <t>착한 묵은김치 7kg</t>
    <phoneticPr fontId="2" type="noConversion"/>
  </si>
  <si>
    <t>착한 묵은김치 10kg</t>
    <phoneticPr fontId="2" type="noConversion"/>
  </si>
  <si>
    <t>착한 묵은김치 2kg</t>
    <phoneticPr fontId="2" type="noConversion"/>
  </si>
  <si>
    <t>착한 석박지2kg</t>
    <phoneticPr fontId="2" type="noConversion"/>
  </si>
  <si>
    <t>[선김치] 간장깻잎 1kg</t>
  </si>
  <si>
    <t>[선김치] 배추포기김치 5kg</t>
  </si>
  <si>
    <t>간장깻잎 1kg</t>
    <phoneticPr fontId="2" type="noConversion"/>
  </si>
  <si>
    <t>착한 깍두기 3kg</t>
    <phoneticPr fontId="2" type="noConversion"/>
  </si>
  <si>
    <t>착한 깍두기 5kg</t>
    <phoneticPr fontId="2" type="noConversion"/>
  </si>
  <si>
    <t>영광 법성포굴비3호(20cm내외,1.8kg)(용량=20미(20cm내외))</t>
  </si>
  <si>
    <t>영광 법성포굴비 3호 1.8kg</t>
    <phoneticPr fontId="2" type="noConversion"/>
  </si>
  <si>
    <t>[선김치] 간장깻잎 2kg</t>
    <phoneticPr fontId="2" type="noConversion"/>
  </si>
  <si>
    <t>100%국내산 백김치2kg/선김치/손수담은 가정식 김치</t>
  </si>
  <si>
    <t>100%국내산 열무김치2kg/선김치/손수담은 가정식 김치</t>
  </si>
  <si>
    <t>착한 오이소박이 2kg</t>
    <phoneticPr fontId="2" type="noConversion"/>
  </si>
  <si>
    <t>착한 오이소박이 3kg</t>
    <phoneticPr fontId="2" type="noConversion"/>
  </si>
  <si>
    <t>착한 조선갓김치 1.5kg</t>
    <phoneticPr fontId="2" type="noConversion"/>
  </si>
  <si>
    <t>착한 양파김치 3kg</t>
    <phoneticPr fontId="2" type="noConversion"/>
  </si>
  <si>
    <t>[선김치] 배추포기김치 3kg</t>
    <phoneticPr fontId="2" type="noConversion"/>
  </si>
  <si>
    <t>착한 양파김치 2kg</t>
    <phoneticPr fontId="2" type="noConversion"/>
  </si>
  <si>
    <t>착한 파김치 1kg</t>
    <phoneticPr fontId="2" type="noConversion"/>
  </si>
  <si>
    <t>[선김치] 배추포기김치 7kg</t>
  </si>
  <si>
    <t>착한 포기김치 7kg</t>
    <phoneticPr fontId="2" type="noConversion"/>
  </si>
  <si>
    <t>착한 양파김치 5kg</t>
    <phoneticPr fontId="2" type="noConversion"/>
  </si>
  <si>
    <t>[선김치] 백김치 2kg</t>
  </si>
  <si>
    <t>[선김치] 백김치 5kg</t>
  </si>
  <si>
    <t>[선김치] 얼갈이김치 2kg</t>
  </si>
  <si>
    <t>[선김치] 총각김치 2kg</t>
  </si>
  <si>
    <t>착한 열무김치 1.5kg</t>
    <phoneticPr fontId="2" type="noConversion"/>
  </si>
  <si>
    <t>착한 깍두기 7kg</t>
    <phoneticPr fontId="2" type="noConversion"/>
  </si>
  <si>
    <t>착한 오이소박이 5kg</t>
    <phoneticPr fontId="2" type="noConversion"/>
  </si>
  <si>
    <t>[선김치] 총각김치 5kg</t>
  </si>
  <si>
    <t>[선김치] 파김치 5kg</t>
  </si>
  <si>
    <t>[선김치] 묵은지김치 10kg</t>
  </si>
  <si>
    <t>착한 묵은지김치 10kg</t>
    <phoneticPr fontId="2" type="noConversion"/>
  </si>
  <si>
    <t>[선김치] 여수 갓김치 3kg</t>
    <phoneticPr fontId="2" type="noConversion"/>
  </si>
  <si>
    <t>착한 포기김치 7kg+석박지 1kg</t>
    <phoneticPr fontId="2" type="noConversion"/>
  </si>
  <si>
    <t>[선김치] 석박지 5kg</t>
    <phoneticPr fontId="2" type="noConversion"/>
  </si>
  <si>
    <t>[선김치] 부추김치 2kg</t>
    <phoneticPr fontId="2" type="noConversion"/>
  </si>
  <si>
    <t>맛있는 수제 전라도 가정식 국내산 배추 포기김치 7kg</t>
  </si>
  <si>
    <t>착한 고구마줄기김치 2kg</t>
    <phoneticPr fontId="2" type="noConversion"/>
  </si>
  <si>
    <t>착한 고구마줄기김치 3kg</t>
    <phoneticPr fontId="2" type="noConversion"/>
  </si>
  <si>
    <t>착한 깍두기 10kg</t>
    <phoneticPr fontId="2" type="noConversion"/>
  </si>
  <si>
    <t>착한 석박지 7kg</t>
    <phoneticPr fontId="2" type="noConversion"/>
  </si>
  <si>
    <t>착한 토하젓 300g</t>
    <phoneticPr fontId="2" type="noConversion"/>
  </si>
  <si>
    <t>[선김치] 묵은지김치 3kg</t>
  </si>
  <si>
    <t>[선김치] 총각김치 3kg</t>
  </si>
  <si>
    <t>전라도 가정식 국내산 배추 포기김치 10kg</t>
  </si>
  <si>
    <t xml:space="preserve"> 부추김치 1kg 석박지 1kg</t>
  </si>
  <si>
    <t xml:space="preserve"> 포기김치 1kg 총각김치 1kg</t>
  </si>
  <si>
    <t xml:space="preserve"> 포기김치 1kg 부추김치 1kg</t>
  </si>
  <si>
    <t xml:space="preserve"> 오이소박이 1kg 열무김치 1kg</t>
  </si>
  <si>
    <t xml:space="preserve"> 파김치 1kg 부추김치 1kg</t>
  </si>
  <si>
    <t xml:space="preserve"> 파김치 1kg 백김치 2kg</t>
  </si>
  <si>
    <t xml:space="preserve"> 백김치 2kg 얼갈이김치 1kg</t>
  </si>
  <si>
    <t xml:space="preserve"> 파김치 1kg 석박지 1kg</t>
  </si>
  <si>
    <t xml:space="preserve"> 총각김치 1kg 파김치 1kg</t>
  </si>
  <si>
    <t xml:space="preserve"> 포기김치 1kg 얼갈이김치 1kg</t>
  </si>
  <si>
    <t xml:space="preserve"> 석박지 1kg 포기김치 1kg</t>
  </si>
  <si>
    <t xml:space="preserve"> 포기김치 1kg 여수갓김치 1kg</t>
  </si>
  <si>
    <t xml:space="preserve"> 파김치 1kg 얼갈이김치 1kg</t>
  </si>
  <si>
    <t xml:space="preserve"> 얼갈이김치 1kg 파김치 1kg</t>
  </si>
  <si>
    <t xml:space="preserve"> 여수갓김치 1kg 석박지 1kg</t>
  </si>
  <si>
    <t xml:space="preserve"> 석박지 1kg 총각김치 1kg</t>
  </si>
  <si>
    <t xml:space="preserve"> 파김치 1kg 총각김치 1kg</t>
  </si>
  <si>
    <t xml:space="preserve"> 여수갓김치 1kg 총각김치 1kg</t>
  </si>
  <si>
    <t xml:space="preserve"> 석박지 1kg 간장깻잎 1kg</t>
  </si>
  <si>
    <t xml:space="preserve"> 포기김치 1kg 포기김치 1kg</t>
  </si>
  <si>
    <t xml:space="preserve"> 총각김치 1kg 백김치 2kg</t>
  </si>
  <si>
    <t xml:space="preserve"> 석박지 1kg 얼갈이김치 1kg</t>
  </si>
  <si>
    <t xml:space="preserve"> 부추김치 1kg 얼갈이김치 1kg</t>
  </si>
  <si>
    <t xml:space="preserve"> 포기김치 1kg 석박지 1kg</t>
  </si>
  <si>
    <t xml:space="preserve"> 총각김치 1kg 얼갈이김치 1kg</t>
  </si>
  <si>
    <t xml:space="preserve"> 석박지 1kg 파김치 1kg</t>
  </si>
  <si>
    <t xml:space="preserve"> 부추김치 1kg 간장깻잎 1kg</t>
  </si>
  <si>
    <t xml:space="preserve"> 부추김치 1kg 총각김치 1kg</t>
  </si>
  <si>
    <t xml:space="preserve"> 파김치 1kg 여수갓김치 1kg</t>
  </si>
  <si>
    <t xml:space="preserve"> 얼갈이김치 1kg 여수갓김치 1kg</t>
  </si>
  <si>
    <t xml:space="preserve"> 여수갓김치 1kg 얼갈이김치 1kg</t>
  </si>
  <si>
    <t xml:space="preserve"> 부추김치 1kg 포기김치 1kg</t>
  </si>
  <si>
    <t xml:space="preserve"> 여수갓김치 1kg 파김치 1kg</t>
  </si>
  <si>
    <t xml:space="preserve"> 부추김치 1kg 여수갓김치 1kg</t>
  </si>
  <si>
    <t xml:space="preserve"> 포기김치 1kg 백김치 2kg</t>
  </si>
  <si>
    <t xml:space="preserve"> 총각김치 1kg 여수갓김치 1kg</t>
  </si>
  <si>
    <t xml:space="preserve"> 석박지 1kg 석박지 1kg</t>
  </si>
  <si>
    <t xml:space="preserve"> 총각김치 1kg 포기김치 1kg</t>
  </si>
  <si>
    <t xml:space="preserve"> 백김치 2kg 간장깻잎 1kg</t>
  </si>
  <si>
    <t xml:space="preserve"> 얼갈이김치 1kg 총각김치 1kg</t>
  </si>
  <si>
    <t xml:space="preserve"> 포기김치 1kg 파김치 1kg</t>
  </si>
  <si>
    <t xml:space="preserve"> 간장깻잎 1kg 총각김치 1kg</t>
  </si>
  <si>
    <t xml:space="preserve"> 간장깻잎 1kg 파김치 1kg</t>
  </si>
  <si>
    <t xml:space="preserve"> 백김치 2kg 포기김치 1kg</t>
  </si>
  <si>
    <t xml:space="preserve"> 총각김치 1kg 부추김치 1kg</t>
  </si>
  <si>
    <t xml:space="preserve"> 총각김치 1kg 총각김치 1kg</t>
  </si>
  <si>
    <t xml:space="preserve"> 얼갈이김치 1kg 석박지 1kg</t>
  </si>
  <si>
    <t xml:space="preserve"> 부추김치 1kg 파김치 1kg</t>
  </si>
  <si>
    <t xml:space="preserve"> 포기(김장)김치(용량=7kg, 석박지 추가=선택안함)</t>
  </si>
  <si>
    <t xml:space="preserve"> 포기(김장)김치(용량=5kg, 석박지 추가=선택안함)</t>
  </si>
  <si>
    <t xml:space="preserve"> 포기(김장)김치(용량=3kg, 석박지 추가=선택안함)</t>
  </si>
  <si>
    <t xml:space="preserve"> 포기(김장)김치(용량=3kg, 석박지 추가=1kg(배추5kg 적당))</t>
  </si>
  <si>
    <t xml:space="preserve"> 포기(김장)김치(용량=10kg, 석박지 추가=선택안함)</t>
  </si>
  <si>
    <t xml:space="preserve"> 파김치: 3kg</t>
  </si>
  <si>
    <t xml:space="preserve"> 파김치: 2kg</t>
  </si>
  <si>
    <t xml:space="preserve"> 파김치(용량=2kg)</t>
  </si>
  <si>
    <t xml:space="preserve"> 토하젓(용량=500g)</t>
  </si>
  <si>
    <t xml:space="preserve"> 토하젓(용량=300g)</t>
  </si>
  <si>
    <t xml:space="preserve"> 코다리조림 630g</t>
  </si>
  <si>
    <t xml:space="preserve"> 총각김치: 3kg</t>
  </si>
  <si>
    <t xml:space="preserve"> 총각김치: 2kg</t>
  </si>
  <si>
    <t xml:space="preserve"> 총각김치(용량=5kg)</t>
  </si>
  <si>
    <t xml:space="preserve"> 총각김치(용량=3kg)</t>
  </si>
  <si>
    <t xml:space="preserve"> 총각김치(용량=2kg)</t>
  </si>
  <si>
    <t xml:space="preserve"> 조선갓김치: 3kg</t>
  </si>
  <si>
    <t xml:space="preserve"> 조선갓(홍갓)김치(용량=2kg)</t>
  </si>
  <si>
    <t xml:space="preserve"> 우엉조림 200g</t>
  </si>
  <si>
    <t xml:space="preserve"> 오징어실채볶음 150g</t>
  </si>
  <si>
    <t xml:space="preserve"> 여수갓김치: 2kg</t>
  </si>
  <si>
    <t xml:space="preserve"> 여수갓김치(용량=2kg)</t>
  </si>
  <si>
    <t xml:space="preserve"> 얼갈이김치: 3kg</t>
  </si>
  <si>
    <t xml:space="preserve"> 얼갈이김치(용량=5kg, 선택=선택안함)</t>
  </si>
  <si>
    <t xml:space="preserve"> 얼갈이김치(용량=3kg)</t>
  </si>
  <si>
    <t xml:space="preserve"> 얼갈이김치(용량=2kg, 선택=선택안함)</t>
  </si>
  <si>
    <t xml:space="preserve"> 얼갈이김치(용량=2kg)</t>
  </si>
  <si>
    <t xml:space="preserve"> 석박지(용량=5kg)</t>
  </si>
  <si>
    <t xml:space="preserve"> 석박지(용량=3kg)</t>
  </si>
  <si>
    <t xml:space="preserve"> 생굴김치(용량=2.3kg(김치2kg+생굴300g))</t>
  </si>
  <si>
    <t xml:space="preserve"> 생 굴김치: 배추김치3kg+500g</t>
  </si>
  <si>
    <t xml:space="preserve"> 생 굴김치: 배추김치2kg+생굴300g</t>
  </si>
  <si>
    <t xml:space="preserve"> 부추김치(용량=2kg)</t>
  </si>
  <si>
    <t xml:space="preserve"> 백김치(용량=2kg)</t>
  </si>
  <si>
    <t xml:space="preserve"> 배추김치: 3kg</t>
  </si>
  <si>
    <t xml:space="preserve"> 배추김치: 2kg</t>
  </si>
  <si>
    <t xml:space="preserve"> 모둠견과조림 200g</t>
  </si>
  <si>
    <t xml:space="preserve"> 명엽채볶음 150g</t>
  </si>
  <si>
    <t xml:space="preserve"> 동치미(용량=3kg)</t>
  </si>
  <si>
    <t xml:space="preserve"> 동치미(용량=2kg)</t>
  </si>
  <si>
    <t xml:space="preserve"> 낙지젓(용량=300g)</t>
  </si>
  <si>
    <t xml:space="preserve"> 낙지젓(용량=500g)</t>
  </si>
  <si>
    <t xml:space="preserve"> 고추장멸치볶음 150g</t>
  </si>
  <si>
    <t xml:space="preserve"> 간장깻잎(용량=1kg)</t>
  </si>
  <si>
    <t>선택1:  홍갓김치2kg</t>
  </si>
  <si>
    <t>선택1:  파김치2kg</t>
  </si>
  <si>
    <t>선택1:  얼갈이2kg</t>
  </si>
  <si>
    <t>포기김치(1kg), ②김치=총각김치(1kg))</t>
  </si>
  <si>
    <t>포기김치(1kg), ②김치=얼갈이김치(1kg))</t>
  </si>
  <si>
    <t>파김치(1kg), ②김치=백김치(2kg))</t>
  </si>
  <si>
    <t>선택1: 04)  파김치 1.5kg</t>
  </si>
  <si>
    <t>선택1: 09)  석박지 1.5kg</t>
  </si>
  <si>
    <t>맛있는 수제 전라도 가정식 국내산  석박지 5kg</t>
  </si>
  <si>
    <t>선택1:  홍갓김치3kg</t>
  </si>
  <si>
    <t xml:space="preserve"> 여수갓김치: 3kg</t>
  </si>
  <si>
    <t xml:space="preserve"> 김장김치: 10kg</t>
  </si>
  <si>
    <t>포기김치(1kg), ②김치=석박지(1kg))</t>
  </si>
  <si>
    <t xml:space="preserve"> 홍어무침 750g</t>
  </si>
  <si>
    <t xml:space="preserve"> 포기(김장)김치(용량=5kg, 석박지 추가=1kg(배추5kg 적당))</t>
  </si>
  <si>
    <t xml:space="preserve"> 다발무김치(용량=2kg)</t>
  </si>
  <si>
    <t xml:space="preserve"> 조선갓(홍갓)김치(용량=5kg)</t>
  </si>
  <si>
    <t xml:space="preserve"> 포기(김장)김치(용량=3kg, 석박지 추가=2kg(배추10kg 적당))</t>
  </si>
  <si>
    <t xml:space="preserve"> 다발무김치(용량=3kg)</t>
  </si>
  <si>
    <t xml:space="preserve"> 조선갓(홍갓)김치(용량=3kg)</t>
  </si>
  <si>
    <t xml:space="preserve"> 오징어젓(용량=500g)</t>
  </si>
  <si>
    <t xml:space="preserve"> 연근조림 200g</t>
  </si>
  <si>
    <t xml:space="preserve"> 잔멸치볶음 150g</t>
  </si>
  <si>
    <t xml:space="preserve"> 파김치(용량=3kg)</t>
  </si>
  <si>
    <t xml:space="preserve"> 여수갓김치(용량=5kg)</t>
  </si>
  <si>
    <t>[말바우시장/선김치]  파김치 3kg</t>
  </si>
  <si>
    <t>[말바우시장/선김치]  여수갓김치 5kg</t>
  </si>
  <si>
    <t>[말바우시장/선김치]  얼갈이김치 5kg</t>
  </si>
  <si>
    <t xml:space="preserve"> 얼갈이김치: 2kg</t>
  </si>
  <si>
    <t xml:space="preserve"> 다발무 김치: 3kg</t>
  </si>
  <si>
    <t xml:space="preserve"> 다발무 김치: 2kg</t>
  </si>
  <si>
    <t>선택1: 01)  포기김치 1.5kg</t>
  </si>
  <si>
    <t>선택1: 05)  다발무김치 1.5kg</t>
  </si>
  <si>
    <t>파김치(1kg), ②김치=총각김치(1kg))</t>
  </si>
  <si>
    <t>선택1:  포기김치2kg</t>
  </si>
  <si>
    <t>①김치=파김치(1kg</t>
  </si>
  <si>
    <t xml:space="preserve"> 생굴김치(용량=3.5kg(김치3kg+생굴500g))</t>
  </si>
  <si>
    <t>선택1:  총각김치2kg</t>
  </si>
  <si>
    <t>맛있는 수제 전라도 가정식 국내산  간장깻잎 1kg</t>
  </si>
  <si>
    <t>선김치/  포기김치 3kg/ 손수 만든 맛있는 김치</t>
  </si>
  <si>
    <t>선택1: 12)  부추김치 1.5kg</t>
  </si>
  <si>
    <t>선택1:  포기김치3kg</t>
  </si>
  <si>
    <t>[말바우시장/선김치]  여수갓김치 2kg</t>
  </si>
  <si>
    <t xml:space="preserve"> 오징어젓(용량=300g)</t>
  </si>
  <si>
    <t xml:space="preserve"> 동치미(용량=5kg)</t>
  </si>
  <si>
    <t xml:space="preserve"> 포기(김장)김치(용량=20kg, 석박지 추가=선택안함)</t>
  </si>
  <si>
    <t>선택1:  총각김치3kg</t>
  </si>
  <si>
    <t>선택1: 11)  홍갓무김치(숙성) 1.5kg</t>
  </si>
  <si>
    <t xml:space="preserve"> 진미채볶음 150g</t>
  </si>
  <si>
    <t>총각김치(1kg), ②김치=파김치(1kg))</t>
  </si>
  <si>
    <t>석박지(1kg), ②김치=포기김치(1kg))</t>
  </si>
  <si>
    <t>[말바우시장/선김치]  얼갈이김치 3kg</t>
  </si>
  <si>
    <t>[말바우시장/선김치]  포기김치 3kg</t>
  </si>
  <si>
    <t>[말바우시장/선김치]  총각김치 3kg</t>
  </si>
  <si>
    <t>선김치/  포기김치 10kg/ 손수 만든 맛있는 김치</t>
  </si>
  <si>
    <t>[말바우시장/선김치]  여수갓김치 3kg</t>
  </si>
  <si>
    <t>[말바우시장/선김치]  백김치 3kg</t>
  </si>
  <si>
    <t>[말바우시장/선김치]  포기김치 5kg</t>
  </si>
  <si>
    <t>[말바우시장/선김치]  석박지 3kg</t>
  </si>
  <si>
    <t xml:space="preserve"> 포기김치: 10kg</t>
  </si>
  <si>
    <t xml:space="preserve"> 조선갓김치: 2kg</t>
  </si>
  <si>
    <t>선택1: 07)  얼갈이김치 1.5kg</t>
  </si>
  <si>
    <t>선김치/  파김치 2kg/ 가정식 명품 수제김치</t>
  </si>
  <si>
    <t>선김치/  총각김치 3kg/ 가정식 명품 수제김치</t>
  </si>
  <si>
    <t>선택1:  백김치2kg</t>
  </si>
  <si>
    <t xml:space="preserve"> 석박지: 2kg / 선택1:  석박지2kg</t>
  </si>
  <si>
    <t>선택1:  백김치3kg</t>
  </si>
  <si>
    <t xml:space="preserve"> 열무김치(용량=5kg, 선택=얼갈이와 혼합하여 제조)</t>
  </si>
  <si>
    <t xml:space="preserve"> 열무김치(용량=2kg, 선택=얼갈이와 혼합하여 제조)</t>
  </si>
  <si>
    <t xml:space="preserve"> 열무김치(용량=3kg, 선택=얼갈이와 혼합하여 제조)</t>
  </si>
  <si>
    <t xml:space="preserve"> 열무김치(용량=2kg, 선택=선택안함)</t>
  </si>
  <si>
    <t xml:space="preserve"> 열무김치(용량=3kg, 선택=선택안함)</t>
  </si>
  <si>
    <t xml:space="preserve"> 열무김치(용량=5kg, 선택=선택안함)</t>
  </si>
  <si>
    <t xml:space="preserve"> 간장깻잎(용량=3kg)</t>
  </si>
  <si>
    <t xml:space="preserve"> 꼴뚜기젓(용량=300g)</t>
  </si>
  <si>
    <t>[말바우시장/선김치]  얼갈이김치 2kg</t>
  </si>
  <si>
    <t>선택1:  부추2kg</t>
  </si>
  <si>
    <t>[말바우시장/선김치]  총각김치 2kg</t>
  </si>
  <si>
    <t>선김치/ 열무김치 5kg/ 가정식 명품 수제김치</t>
  </si>
  <si>
    <t xml:space="preserve"> 파김치(용량=5kg)</t>
  </si>
  <si>
    <t>선김치 /  포기김치 3kg / 손수 만든 맛있는 김치</t>
  </si>
  <si>
    <t xml:space="preserve"> 포기(김장)김치(용량=10kg, 석박지 추가=1kg(배추5kg 적당))</t>
  </si>
  <si>
    <t xml:space="preserve"> 백김치(용량=3kg)</t>
  </si>
  <si>
    <t>[말바우시장/선김치]  열무김치 3kg</t>
  </si>
  <si>
    <t>[말바우시장/선김치]  열무김치 2kg</t>
  </si>
  <si>
    <t>선김치/  총각김치 2kg/ 가정식 명품 수제김치</t>
  </si>
  <si>
    <t xml:space="preserve"> 포기(김장)김치(용량=5kg, 석박지 추가=2kg(배추10kg 적당))</t>
  </si>
  <si>
    <t xml:space="preserve"> 석박지(용량=10kg)</t>
  </si>
  <si>
    <t>맛있는 수제 전라도 가정식 국내산  간장깻잎 2kg</t>
  </si>
  <si>
    <t>선택1:  열무김치2kg</t>
  </si>
  <si>
    <t>젓갈(선택=낙지젓500g)</t>
  </si>
  <si>
    <t xml:space="preserve"> 포기(김장)김치(용량=10kg, 석박지 추가=2kg(배추10kg 적당))</t>
  </si>
  <si>
    <t xml:space="preserve"> 백김치(용량=5kg)</t>
  </si>
  <si>
    <t xml:space="preserve"> 홍갓무김치: 2kg(숙성김치)</t>
  </si>
  <si>
    <t>[말바우시장/선김치]  파김치 2kg</t>
  </si>
  <si>
    <t xml:space="preserve"> 홍갓무김치: 3kg(숙성김치)</t>
  </si>
  <si>
    <t>선택1: 03)  여수갓김치 1.5kg</t>
  </si>
  <si>
    <t>선택1: 02)  총각김치 1.5kg</t>
  </si>
  <si>
    <t>선택1:  여수갓김치2kg</t>
  </si>
  <si>
    <t>선택1:  얼갈이3kg</t>
  </si>
  <si>
    <t>[말바우시장/선김치]  열무김치 5kg</t>
  </si>
  <si>
    <t>[말바우시장/선김치]  총각김치 5kg</t>
  </si>
  <si>
    <t xml:space="preserve"> 꼴뚜기젓(용량=500g)</t>
  </si>
  <si>
    <t>[말바우시장/선김치]  백김치 5kg</t>
  </si>
  <si>
    <t xml:space="preserve"> 열무김치: 2kg</t>
  </si>
  <si>
    <t xml:space="preserve"> 열무김치: 3kg</t>
  </si>
  <si>
    <t>선택1:  파김치3kg</t>
  </si>
  <si>
    <t>선김치/  여수갓김치 3kg/ 가정식 명품 수제김치</t>
  </si>
  <si>
    <t>젓갈(선택=오징어젓300g)</t>
  </si>
  <si>
    <t>젓갈(선택=낙지젓300g)</t>
  </si>
  <si>
    <t xml:space="preserve"> 홍갓무김치(용량=5kg, 선택=숙성(맛있게 숙성되어 바로드실수 있는 상품))</t>
  </si>
  <si>
    <t xml:space="preserve"> 홍갓무김치(용량=2kg, 선택=숙성(맛있게 숙성되어 바로드실수 있는 상품))</t>
  </si>
  <si>
    <t>선김치/  총각김치 5kg/ 가정식 명품 수제김치</t>
  </si>
  <si>
    <t xml:space="preserve"> 홍갓무김치(용량=3kg, 선택=숙성(맛있게 숙성되어 바로드실수 있는 상품))</t>
  </si>
  <si>
    <t xml:space="preserve"> 얼갈이김치(용량=5kg)</t>
  </si>
  <si>
    <t>[말바우시장/선김치]  부추김치 2kg</t>
  </si>
  <si>
    <t xml:space="preserve"> 석박지:   석박지 / 선택1:  석박지2kg</t>
  </si>
  <si>
    <t xml:space="preserve"> 부추김치(용량=3kg)</t>
  </si>
  <si>
    <t xml:space="preserve"> 얼갈이김치(용량=3kg, 선택=선택안함)</t>
  </si>
  <si>
    <t>젓갈(선택=오징어젓500g)</t>
  </si>
  <si>
    <t>[말바우시장/선김치]  간장깻잎 1kg</t>
  </si>
  <si>
    <t>선김치/  석박지 5kg/ 가정식 명품 수제김치</t>
  </si>
  <si>
    <t xml:space="preserve"> 포기(김장)김치(용량=7kg, 석박지 추가=2kg(배추10kg 적당))</t>
  </si>
  <si>
    <t>[말바우시장/선김치]  포기김치 10kg</t>
  </si>
  <si>
    <t>젓갈(선택=토하젓500g)</t>
  </si>
  <si>
    <t xml:space="preserve"> 묵은김치(용량=3kg)</t>
  </si>
  <si>
    <t xml:space="preserve"> 묵은김치(용량=5kg)</t>
  </si>
  <si>
    <t xml:space="preserve"> 묵은김치(용량=7kg)</t>
  </si>
  <si>
    <t xml:space="preserve"> 묵은김치(용량=10kg)</t>
  </si>
  <si>
    <t xml:space="preserve"> 묵은지: 2kg</t>
  </si>
  <si>
    <t xml:space="preserve"> 묵은지: 3kg</t>
  </si>
  <si>
    <t>[말바우시장/선김치]  파김치 5kg</t>
  </si>
  <si>
    <t xml:space="preserve"> 석박지: 1 / 선택1:  석박지2kg</t>
  </si>
  <si>
    <t xml:space="preserve"> 깍두기(용량=3kg)</t>
  </si>
  <si>
    <t xml:space="preserve"> 깍두기(용량=5kg)</t>
  </si>
  <si>
    <t>젓갈(선택=꼴뚜기젓500g)</t>
  </si>
  <si>
    <t xml:space="preserve"> 석박지: . / 선택1:  석박지2kg</t>
  </si>
  <si>
    <t xml:space="preserve"> 부추김치(용량=5kg)</t>
  </si>
  <si>
    <t>선택1:  묵은지2kg</t>
  </si>
  <si>
    <t xml:space="preserve"> 오이소박이(용량선택=2kg)</t>
  </si>
  <si>
    <t xml:space="preserve"> 오이소박이: 2kg</t>
  </si>
  <si>
    <t>선김치/ 묵은김치 5kg가정식 명품 수제김치</t>
  </si>
  <si>
    <t xml:space="preserve"> 오이소박이(용량선택=3kg)</t>
  </si>
  <si>
    <t xml:space="preserve"> 석박지: 2키로 / 선택1:  석박지2kg</t>
  </si>
  <si>
    <t>선택1: 10)  홍갓김치 1.5kg</t>
  </si>
  <si>
    <t xml:space="preserve"> 양파김치(용량선택=3kg)</t>
  </si>
  <si>
    <t>선택1:  묵은지3kg</t>
  </si>
  <si>
    <t xml:space="preserve"> 양파김치(용량선택=2kg)</t>
  </si>
  <si>
    <t>선김치 손수 만든 맛있는  파김치 1kg</t>
  </si>
  <si>
    <t xml:space="preserve"> 오이소박이: 3kg</t>
  </si>
  <si>
    <t xml:space="preserve"> 양파김치(용량선택=5kg)</t>
  </si>
  <si>
    <t>선택1:  여수갓김치3kg</t>
  </si>
  <si>
    <t>맛있는 수제 전라도 가정식 국내산  석박지 10kg</t>
  </si>
  <si>
    <t>선택1: 06)  열무김치 1.5kg</t>
  </si>
  <si>
    <t xml:space="preserve"> 깍두기(용량=7kg)</t>
  </si>
  <si>
    <t xml:space="preserve"> 오이소박이(용량선택=5kg)</t>
  </si>
  <si>
    <t xml:space="preserve"> 포기(김장)김치(용량=7kg, 석박지 추가=1kg(배추5kg 적당))</t>
  </si>
  <si>
    <t>[말바우시장/선김치]  백김치 2kg</t>
  </si>
  <si>
    <t>선택1:  열무김치3kg</t>
  </si>
  <si>
    <t xml:space="preserve"> 석박지: 중간 / 선택1:  석박지2kg</t>
  </si>
  <si>
    <t>선김치 손수 만든 맛있는  여수갓김치 3kg/옵션없음</t>
  </si>
  <si>
    <t>[선김치] 손수 만든 맛있는  파김치 2kg</t>
  </si>
  <si>
    <t>[말바우시장/선김치]  부추김치 3kg</t>
  </si>
  <si>
    <t xml:space="preserve"> 석박지: 2k / 선택1:  석박지2kg</t>
  </si>
  <si>
    <t>[말바우시장/선김치]  묵은지(배추김치) 3kg</t>
  </si>
  <si>
    <t xml:space="preserve"> 간장깻잎(용량=2kg)</t>
  </si>
  <si>
    <t>[말바우시장/선김치]  묵은지(배추김치) 5kg</t>
  </si>
  <si>
    <t>[말바우시장/선김치]  오이소박이 2kg</t>
  </si>
  <si>
    <t>[말바우시장/선김치]  오이소박이 3kg</t>
  </si>
  <si>
    <t>선김치/  얼갈이김치 2kg/ 가정식 명품 수제김치</t>
  </si>
  <si>
    <t>선김치/ 묵은김치 7kg/ 가정식 명품 수제김치</t>
  </si>
  <si>
    <t xml:space="preserve"> 고구마줄기김치(용량=2kg)</t>
  </si>
  <si>
    <t xml:space="preserve"> 고구마줄기김치(용량=3kg)</t>
  </si>
  <si>
    <t>선김치 손수 만든 맛있는  얼갈이김치 2kg/옵션없음</t>
  </si>
  <si>
    <t>선김치/ 고구마줄기김치 2kg/ 가정식 명품 수제김치</t>
  </si>
  <si>
    <t xml:space="preserve"> 깍두기(용량=10kg)</t>
  </si>
  <si>
    <t xml:space="preserve"> 석박지(용량=7kg)</t>
  </si>
  <si>
    <t>젓갈(선택=토하젓300g)</t>
  </si>
  <si>
    <t xml:space="preserve"> 석박지: 알맞은 간으로 / 선택1:  석박지3kg</t>
  </si>
  <si>
    <t xml:space="preserve"> 석박지: 얼갈이 김치와 묶음배송 / 선택1:  석박지2kg</t>
  </si>
  <si>
    <t>현금 보조부원장</t>
    <phoneticPr fontId="2" type="noConversion"/>
  </si>
  <si>
    <t>일자</t>
    <phoneticPr fontId="2" type="noConversion"/>
  </si>
  <si>
    <t>상대계정</t>
    <phoneticPr fontId="2" type="noConversion"/>
  </si>
  <si>
    <t>거래처</t>
    <phoneticPr fontId="2" type="noConversion"/>
  </si>
  <si>
    <t>내역</t>
    <phoneticPr fontId="2" type="noConversion"/>
  </si>
  <si>
    <t>입금액</t>
    <phoneticPr fontId="2" type="noConversion"/>
  </si>
  <si>
    <t>지출액</t>
    <phoneticPr fontId="2" type="noConversion"/>
  </si>
  <si>
    <t>잔액</t>
    <phoneticPr fontId="2" type="noConversion"/>
  </si>
  <si>
    <t>마감후 잔액</t>
  </si>
  <si>
    <t>여비교통비</t>
  </si>
  <si>
    <t>차량주차비</t>
  </si>
  <si>
    <t>소           계</t>
  </si>
  <si>
    <t>운반비</t>
    <phoneticPr fontId="2" type="noConversion"/>
  </si>
  <si>
    <t>여비교통비</t>
    <phoneticPr fontId="2" type="noConversion"/>
  </si>
  <si>
    <t>여비교통비</t>
    <phoneticPr fontId="2" type="noConversion"/>
  </si>
  <si>
    <t>차량주차비</t>
    <phoneticPr fontId="2" type="noConversion"/>
  </si>
  <si>
    <t>차량주차비</t>
    <phoneticPr fontId="2" type="noConversion"/>
  </si>
  <si>
    <t>인건비</t>
    <phoneticPr fontId="2" type="noConversion"/>
  </si>
  <si>
    <t>복리후생비</t>
  </si>
  <si>
    <t>월    마    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</si>
</sst>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m&quot;월&quot;\ d&quot;일&quot;;@"/>
    <numFmt numFmtId="177" formatCode="mm&quot;월&quot;\ dd&quot;일&quot;"/>
  </numFmts>
  <fonts count="14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color rgb="FFFF000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3" fillId="0" borderId="0" applyNumberFormat="0" applyFont="0" applyFill="0" applyBorder="0" applyAlignment="0" applyProtection="0"/>
    <xf numFmtId="0" fontId="9" fillId="0" borderId="0">
      <alignment vertical="center"/>
    </xf>
    <xf numFmtId="41" fontId="11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0" borderId="1" xfId="1" applyFont="1" applyBorder="1"/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/>
    <xf numFmtId="0" fontId="5" fillId="0" borderId="1" xfId="0" applyFont="1" applyBorder="1" applyAlignment="1">
      <alignment horizontal="left"/>
    </xf>
    <xf numFmtId="49" fontId="5" fillId="0" borderId="1" xfId="0" applyNumberFormat="1" applyFont="1" applyBorder="1">
      <alignment vertical="center"/>
    </xf>
    <xf numFmtId="0" fontId="7" fillId="0" borderId="1" xfId="0" applyFont="1" applyBorder="1" applyAlignment="1"/>
    <xf numFmtId="0" fontId="5" fillId="0" borderId="1" xfId="0" applyFont="1" applyBorder="1" applyAlignment="1">
      <alignment vertical="center" wrapText="1"/>
    </xf>
    <xf numFmtId="0" fontId="12" fillId="0" borderId="0" xfId="0" applyFont="1" applyFill="1" applyAlignment="1">
      <alignment vertical="center"/>
    </xf>
    <xf numFmtId="0" fontId="8" fillId="0" borderId="0" xfId="0" applyFont="1">
      <alignment vertical="center"/>
    </xf>
    <xf numFmtId="176" fontId="10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0" fontId="10" fillId="0" borderId="0" xfId="0" applyFont="1" applyFill="1" applyAlignment="1">
      <alignment horizontal="center" vertical="center"/>
    </xf>
    <xf numFmtId="41" fontId="10" fillId="0" borderId="0" xfId="4" applyFont="1" applyFill="1">
      <alignment vertical="center"/>
    </xf>
    <xf numFmtId="0" fontId="10" fillId="3" borderId="2" xfId="0" applyFont="1" applyFill="1" applyBorder="1" applyAlignment="1">
      <alignment vertical="center"/>
    </xf>
    <xf numFmtId="41" fontId="10" fillId="3" borderId="3" xfId="0" applyNumberFormat="1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41" fontId="10" fillId="3" borderId="3" xfId="4" applyFont="1" applyFill="1" applyBorder="1" applyAlignment="1">
      <alignment horizontal="center" vertical="center"/>
    </xf>
    <xf numFmtId="41" fontId="10" fillId="4" borderId="7" xfId="4" applyFont="1" applyFill="1" applyBorder="1" applyAlignment="1">
      <alignment horizontal="center" vertical="center"/>
    </xf>
    <xf numFmtId="41" fontId="10" fillId="0" borderId="7" xfId="4" applyFont="1" applyBorder="1">
      <alignment vertical="center"/>
    </xf>
    <xf numFmtId="177" fontId="10" fillId="4" borderId="8" xfId="0" applyNumberFormat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41" fontId="10" fillId="4" borderId="9" xfId="4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41" fontId="10" fillId="4" borderId="11" xfId="4" applyFont="1" applyFill="1" applyBorder="1" applyAlignment="1">
      <alignment horizontal="center" vertical="center"/>
    </xf>
    <xf numFmtId="41" fontId="10" fillId="4" borderId="12" xfId="4" applyFont="1" applyFill="1" applyBorder="1" applyAlignment="1">
      <alignment horizontal="center" vertical="center"/>
    </xf>
    <xf numFmtId="41" fontId="10" fillId="3" borderId="16" xfId="4" applyFont="1" applyFill="1" applyBorder="1" applyAlignment="1">
      <alignment horizontal="center" vertical="center"/>
    </xf>
    <xf numFmtId="41" fontId="10" fillId="3" borderId="16" xfId="4" applyFont="1" applyFill="1" applyBorder="1">
      <alignment vertical="center"/>
    </xf>
    <xf numFmtId="41" fontId="10" fillId="0" borderId="9" xfId="4" applyFont="1" applyBorder="1">
      <alignment vertical="center"/>
    </xf>
    <xf numFmtId="41" fontId="10" fillId="0" borderId="11" xfId="4" applyFont="1" applyBorder="1">
      <alignment vertical="center"/>
    </xf>
    <xf numFmtId="0" fontId="10" fillId="4" borderId="12" xfId="0" applyFont="1" applyFill="1" applyBorder="1" applyAlignment="1">
      <alignment horizontal="center" vertical="center"/>
    </xf>
    <xf numFmtId="41" fontId="10" fillId="0" borderId="12" xfId="4" applyFont="1" applyBorder="1">
      <alignment vertical="center"/>
    </xf>
    <xf numFmtId="41" fontId="10" fillId="4" borderId="18" xfId="4" applyFont="1" applyFill="1" applyBorder="1" applyAlignment="1">
      <alignment horizontal="center" vertical="center"/>
    </xf>
    <xf numFmtId="176" fontId="10" fillId="4" borderId="8" xfId="0" applyNumberFormat="1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41" fontId="10" fillId="5" borderId="9" xfId="4" applyFont="1" applyFill="1" applyBorder="1">
      <alignment vertical="center"/>
    </xf>
    <xf numFmtId="177" fontId="13" fillId="4" borderId="10" xfId="0" applyNumberFormat="1" applyFont="1" applyFill="1" applyBorder="1" applyAlignment="1">
      <alignment horizontal="center" vertical="center"/>
    </xf>
    <xf numFmtId="177" fontId="13" fillId="4" borderId="17" xfId="0" applyNumberFormat="1" applyFont="1" applyFill="1" applyBorder="1" applyAlignment="1">
      <alignment horizontal="center" vertical="center"/>
    </xf>
    <xf numFmtId="41" fontId="10" fillId="6" borderId="22" xfId="4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/>
    </xf>
    <xf numFmtId="0" fontId="10" fillId="4" borderId="26" xfId="0" applyFont="1" applyFill="1" applyBorder="1" applyAlignment="1">
      <alignment horizontal="center" vertical="center"/>
    </xf>
    <xf numFmtId="0" fontId="10" fillId="4" borderId="27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10" fillId="3" borderId="24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</cellXfs>
  <cellStyles count="5">
    <cellStyle name="쉼표 [0]" xfId="4" builtinId="6"/>
    <cellStyle name="표준" xfId="0" builtinId="0"/>
    <cellStyle name="표준 2" xfId="1"/>
    <cellStyle name="표준 2 2" xfId="3"/>
    <cellStyle name="표준 3" xfId="2"/>
  </cellStyles>
  <dxfs count="2"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219075</xdr:rowOff>
        </xdr:from>
        <xdr:to>
          <xdr:col>5</xdr:col>
          <xdr:colOff>76200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0</xdr:row>
          <xdr:rowOff>180975</xdr:rowOff>
        </xdr:from>
        <xdr:to>
          <xdr:col>6</xdr:col>
          <xdr:colOff>361950</xdr:colOff>
          <xdr:row>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=""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" filterMode="1"/>
  <dimension ref="A1:B1117"/>
  <sheetViews>
    <sheetView zoomScaleNormal="100" workbookViewId="0">
      <selection activeCell="B222" sqref="B222"/>
    </sheetView>
  </sheetViews>
  <sheetFormatPr defaultRowHeight="16.5" x14ac:dyDescent="0.3"/>
  <cols>
    <col min="1" max="1" width="14.625" style="4" customWidth="1"/>
    <col min="2" max="2" width="37.25" style="3" customWidth="1"/>
  </cols>
  <sheetData>
    <row r="1" spans="1:2" x14ac:dyDescent="0.3">
      <c r="A1" s="1"/>
      <c r="B1" s="1" t="s">
        <v>0</v>
      </c>
    </row>
    <row r="2" spans="1:2" hidden="1" x14ac:dyDescent="0.25">
      <c r="A2" s="2" t="s">
        <v>1</v>
      </c>
      <c r="B2" s="3" t="s">
        <v>2</v>
      </c>
    </row>
    <row r="3" spans="1:2" hidden="1" x14ac:dyDescent="0.3">
      <c r="A3" s="4" t="s">
        <v>237</v>
      </c>
      <c r="B3" s="3" t="s">
        <v>3</v>
      </c>
    </row>
    <row r="4" spans="1:2" hidden="1" x14ac:dyDescent="0.3">
      <c r="A4" s="4" t="s">
        <v>238</v>
      </c>
      <c r="B4" s="3" t="s">
        <v>4</v>
      </c>
    </row>
    <row r="5" spans="1:2" hidden="1" x14ac:dyDescent="0.3">
      <c r="A5" s="4" t="s">
        <v>239</v>
      </c>
      <c r="B5" s="3" t="s">
        <v>5</v>
      </c>
    </row>
    <row r="6" spans="1:2" hidden="1" x14ac:dyDescent="0.3">
      <c r="A6" s="4" t="s">
        <v>240</v>
      </c>
      <c r="B6" s="3" t="s">
        <v>6</v>
      </c>
    </row>
    <row r="7" spans="1:2" hidden="1" x14ac:dyDescent="0.3">
      <c r="A7" s="4" t="s">
        <v>241</v>
      </c>
      <c r="B7" s="3" t="s">
        <v>7</v>
      </c>
    </row>
    <row r="8" spans="1:2" hidden="1" x14ac:dyDescent="0.25">
      <c r="A8" s="5" t="s">
        <v>242</v>
      </c>
      <c r="B8" s="6" t="s">
        <v>8</v>
      </c>
    </row>
    <row r="9" spans="1:2" hidden="1" x14ac:dyDescent="0.25">
      <c r="A9" s="5" t="s">
        <v>243</v>
      </c>
      <c r="B9" s="6" t="s">
        <v>9</v>
      </c>
    </row>
    <row r="10" spans="1:2" hidden="1" x14ac:dyDescent="0.3">
      <c r="A10" s="4" t="s">
        <v>244</v>
      </c>
      <c r="B10" s="3" t="s">
        <v>10</v>
      </c>
    </row>
    <row r="11" spans="1:2" hidden="1" x14ac:dyDescent="0.3">
      <c r="A11" s="4" t="s">
        <v>245</v>
      </c>
      <c r="B11" s="3" t="s">
        <v>11</v>
      </c>
    </row>
    <row r="12" spans="1:2" hidden="1" x14ac:dyDescent="0.3">
      <c r="A12" s="4" t="s">
        <v>246</v>
      </c>
      <c r="B12" s="3" t="s">
        <v>12</v>
      </c>
    </row>
    <row r="13" spans="1:2" hidden="1" x14ac:dyDescent="0.3">
      <c r="A13" s="4" t="s">
        <v>247</v>
      </c>
      <c r="B13" s="3" t="s">
        <v>13</v>
      </c>
    </row>
    <row r="14" spans="1:2" hidden="1" x14ac:dyDescent="0.25">
      <c r="A14" s="5" t="s">
        <v>248</v>
      </c>
      <c r="B14" s="6" t="s">
        <v>14</v>
      </c>
    </row>
    <row r="15" spans="1:2" hidden="1" x14ac:dyDescent="0.25">
      <c r="A15" s="5" t="s">
        <v>249</v>
      </c>
      <c r="B15" s="6" t="s">
        <v>15</v>
      </c>
    </row>
    <row r="16" spans="1:2" hidden="1" x14ac:dyDescent="0.25">
      <c r="A16" s="4" t="s">
        <v>250</v>
      </c>
      <c r="B16" s="6" t="s">
        <v>16</v>
      </c>
    </row>
    <row r="17" spans="1:2" hidden="1" x14ac:dyDescent="0.3">
      <c r="A17" s="4" t="s">
        <v>251</v>
      </c>
      <c r="B17" s="3" t="s">
        <v>17</v>
      </c>
    </row>
    <row r="18" spans="1:2" hidden="1" x14ac:dyDescent="0.3">
      <c r="A18" s="4" t="s">
        <v>252</v>
      </c>
      <c r="B18" s="3" t="s">
        <v>15</v>
      </c>
    </row>
    <row r="19" spans="1:2" hidden="1" x14ac:dyDescent="0.25">
      <c r="A19" s="5" t="s">
        <v>253</v>
      </c>
      <c r="B19" s="6" t="s">
        <v>18</v>
      </c>
    </row>
    <row r="20" spans="1:2" hidden="1" x14ac:dyDescent="0.3">
      <c r="A20" s="4" t="s">
        <v>254</v>
      </c>
      <c r="B20" s="3" t="s">
        <v>19</v>
      </c>
    </row>
    <row r="21" spans="1:2" hidden="1" x14ac:dyDescent="0.3">
      <c r="A21" s="4" t="s">
        <v>255</v>
      </c>
      <c r="B21" s="3" t="s">
        <v>20</v>
      </c>
    </row>
    <row r="22" spans="1:2" hidden="1" x14ac:dyDescent="0.3">
      <c r="A22" s="4" t="s">
        <v>256</v>
      </c>
      <c r="B22" s="3" t="s">
        <v>21</v>
      </c>
    </row>
    <row r="23" spans="1:2" hidden="1" x14ac:dyDescent="0.25">
      <c r="A23" s="5" t="s">
        <v>257</v>
      </c>
      <c r="B23" s="6" t="s">
        <v>22</v>
      </c>
    </row>
    <row r="24" spans="1:2" hidden="1" x14ac:dyDescent="0.3">
      <c r="A24" s="4" t="s">
        <v>258</v>
      </c>
      <c r="B24" s="3" t="s">
        <v>22</v>
      </c>
    </row>
    <row r="25" spans="1:2" hidden="1" x14ac:dyDescent="0.25">
      <c r="A25" s="5" t="s">
        <v>259</v>
      </c>
      <c r="B25" s="6" t="s">
        <v>23</v>
      </c>
    </row>
    <row r="26" spans="1:2" hidden="1" x14ac:dyDescent="0.3">
      <c r="A26" s="4" t="s">
        <v>260</v>
      </c>
      <c r="B26" s="3" t="s">
        <v>24</v>
      </c>
    </row>
    <row r="27" spans="1:2" hidden="1" x14ac:dyDescent="0.3">
      <c r="A27" s="4" t="s">
        <v>261</v>
      </c>
      <c r="B27" s="3" t="s">
        <v>25</v>
      </c>
    </row>
    <row r="28" spans="1:2" hidden="1" x14ac:dyDescent="0.3">
      <c r="A28" s="4" t="s">
        <v>262</v>
      </c>
      <c r="B28" s="3" t="s">
        <v>26</v>
      </c>
    </row>
    <row r="29" spans="1:2" hidden="1" x14ac:dyDescent="0.3">
      <c r="A29" s="4" t="s">
        <v>263</v>
      </c>
      <c r="B29" s="3" t="s">
        <v>27</v>
      </c>
    </row>
    <row r="30" spans="1:2" hidden="1" x14ac:dyDescent="0.3">
      <c r="A30" s="4" t="s">
        <v>264</v>
      </c>
      <c r="B30" s="3" t="s">
        <v>28</v>
      </c>
    </row>
    <row r="31" spans="1:2" hidden="1" x14ac:dyDescent="0.3">
      <c r="A31" s="4" t="s">
        <v>265</v>
      </c>
      <c r="B31" s="3" t="s">
        <v>29</v>
      </c>
    </row>
    <row r="32" spans="1:2" hidden="1" x14ac:dyDescent="0.3">
      <c r="A32" s="4" t="s">
        <v>266</v>
      </c>
      <c r="B32" s="3" t="s">
        <v>30</v>
      </c>
    </row>
    <row r="33" spans="1:2" hidden="1" x14ac:dyDescent="0.3">
      <c r="A33" s="4" t="s">
        <v>266</v>
      </c>
      <c r="B33" s="3" t="s">
        <v>31</v>
      </c>
    </row>
    <row r="34" spans="1:2" hidden="1" x14ac:dyDescent="0.25">
      <c r="A34" s="5" t="s">
        <v>267</v>
      </c>
      <c r="B34" s="6" t="s">
        <v>32</v>
      </c>
    </row>
    <row r="35" spans="1:2" hidden="1" x14ac:dyDescent="0.25">
      <c r="A35" s="5" t="s">
        <v>268</v>
      </c>
      <c r="B35" s="6" t="s">
        <v>30</v>
      </c>
    </row>
    <row r="36" spans="1:2" hidden="1" x14ac:dyDescent="0.3">
      <c r="A36" s="4" t="s">
        <v>269</v>
      </c>
      <c r="B36" s="3" t="s">
        <v>33</v>
      </c>
    </row>
    <row r="37" spans="1:2" hidden="1" x14ac:dyDescent="0.3">
      <c r="A37" s="4" t="s">
        <v>270</v>
      </c>
      <c r="B37" s="3" t="s">
        <v>34</v>
      </c>
    </row>
    <row r="38" spans="1:2" hidden="1" x14ac:dyDescent="0.25">
      <c r="A38" s="5" t="s">
        <v>271</v>
      </c>
      <c r="B38" s="6" t="s">
        <v>35</v>
      </c>
    </row>
    <row r="39" spans="1:2" hidden="1" x14ac:dyDescent="0.25">
      <c r="A39" s="5" t="s">
        <v>272</v>
      </c>
      <c r="B39" s="6" t="s">
        <v>36</v>
      </c>
    </row>
    <row r="40" spans="1:2" hidden="1" x14ac:dyDescent="0.3">
      <c r="A40" s="4" t="s">
        <v>273</v>
      </c>
      <c r="B40" s="3" t="s">
        <v>37</v>
      </c>
    </row>
    <row r="41" spans="1:2" hidden="1" x14ac:dyDescent="0.3">
      <c r="A41" s="4" t="s">
        <v>274</v>
      </c>
      <c r="B41" s="3" t="s">
        <v>38</v>
      </c>
    </row>
    <row r="42" spans="1:2" hidden="1" x14ac:dyDescent="0.3">
      <c r="A42" s="4" t="s">
        <v>275</v>
      </c>
      <c r="B42" s="3" t="s">
        <v>39</v>
      </c>
    </row>
    <row r="43" spans="1:2" hidden="1" x14ac:dyDescent="0.3">
      <c r="A43" s="4" t="s">
        <v>276</v>
      </c>
      <c r="B43" s="3" t="s">
        <v>40</v>
      </c>
    </row>
    <row r="44" spans="1:2" hidden="1" x14ac:dyDescent="0.3">
      <c r="A44" s="4" t="s">
        <v>277</v>
      </c>
      <c r="B44" s="4" t="s">
        <v>41</v>
      </c>
    </row>
    <row r="45" spans="1:2" hidden="1" x14ac:dyDescent="0.3">
      <c r="A45" s="4" t="s">
        <v>278</v>
      </c>
      <c r="B45" s="4" t="s">
        <v>42</v>
      </c>
    </row>
    <row r="46" spans="1:2" hidden="1" x14ac:dyDescent="0.3">
      <c r="A46" s="4" t="s">
        <v>279</v>
      </c>
      <c r="B46" s="3" t="s">
        <v>43</v>
      </c>
    </row>
    <row r="47" spans="1:2" hidden="1" x14ac:dyDescent="0.3">
      <c r="A47" s="4" t="s">
        <v>280</v>
      </c>
      <c r="B47" s="3" t="s">
        <v>44</v>
      </c>
    </row>
    <row r="48" spans="1:2" hidden="1" x14ac:dyDescent="0.3">
      <c r="A48" s="4" t="s">
        <v>45</v>
      </c>
      <c r="B48" s="3" t="s">
        <v>46</v>
      </c>
    </row>
    <row r="49" spans="1:2" hidden="1" x14ac:dyDescent="0.25">
      <c r="A49" s="5" t="s">
        <v>281</v>
      </c>
      <c r="B49" s="6" t="s">
        <v>19</v>
      </c>
    </row>
    <row r="50" spans="1:2" hidden="1" x14ac:dyDescent="0.25">
      <c r="A50" s="5" t="s">
        <v>282</v>
      </c>
      <c r="B50" s="3" t="s">
        <v>10</v>
      </c>
    </row>
    <row r="51" spans="1:2" hidden="1" x14ac:dyDescent="0.25">
      <c r="A51" s="5" t="s">
        <v>283</v>
      </c>
      <c r="B51" s="3" t="s">
        <v>26</v>
      </c>
    </row>
    <row r="52" spans="1:2" hidden="1" x14ac:dyDescent="0.3">
      <c r="A52" s="4" t="s">
        <v>284</v>
      </c>
      <c r="B52" s="4" t="s">
        <v>47</v>
      </c>
    </row>
    <row r="53" spans="1:2" hidden="1" x14ac:dyDescent="0.3">
      <c r="A53" s="4" t="s">
        <v>285</v>
      </c>
      <c r="B53" s="4" t="s">
        <v>48</v>
      </c>
    </row>
    <row r="54" spans="1:2" hidden="1" x14ac:dyDescent="0.3">
      <c r="A54" s="4" t="s">
        <v>285</v>
      </c>
      <c r="B54" s="4" t="s">
        <v>48</v>
      </c>
    </row>
    <row r="55" spans="1:2" hidden="1" x14ac:dyDescent="0.3">
      <c r="A55" s="4" t="s">
        <v>286</v>
      </c>
      <c r="B55" s="4" t="s">
        <v>49</v>
      </c>
    </row>
    <row r="56" spans="1:2" hidden="1" x14ac:dyDescent="0.25">
      <c r="A56" s="5" t="s">
        <v>50</v>
      </c>
      <c r="B56" s="3" t="s">
        <v>51</v>
      </c>
    </row>
    <row r="57" spans="1:2" hidden="1" x14ac:dyDescent="0.25">
      <c r="A57" s="5" t="s">
        <v>52</v>
      </c>
      <c r="B57" s="6" t="s">
        <v>13</v>
      </c>
    </row>
    <row r="58" spans="1:2" hidden="1" x14ac:dyDescent="0.25">
      <c r="A58" s="5" t="s">
        <v>287</v>
      </c>
      <c r="B58" s="5" t="s">
        <v>53</v>
      </c>
    </row>
    <row r="59" spans="1:2" hidden="1" x14ac:dyDescent="0.25">
      <c r="A59" s="5" t="s">
        <v>288</v>
      </c>
      <c r="B59" s="5" t="s">
        <v>54</v>
      </c>
    </row>
    <row r="60" spans="1:2" hidden="1" x14ac:dyDescent="0.25">
      <c r="A60" s="5" t="s">
        <v>289</v>
      </c>
      <c r="B60" s="3" t="s">
        <v>55</v>
      </c>
    </row>
    <row r="61" spans="1:2" hidden="1" x14ac:dyDescent="0.25">
      <c r="A61" s="5" t="s">
        <v>290</v>
      </c>
      <c r="B61" s="3" t="s">
        <v>56</v>
      </c>
    </row>
    <row r="62" spans="1:2" hidden="1" x14ac:dyDescent="0.25">
      <c r="A62" s="5" t="s">
        <v>291</v>
      </c>
      <c r="B62" s="5" t="s">
        <v>57</v>
      </c>
    </row>
    <row r="63" spans="1:2" hidden="1" x14ac:dyDescent="0.25">
      <c r="A63" s="5" t="s">
        <v>292</v>
      </c>
      <c r="B63" s="5" t="s">
        <v>58</v>
      </c>
    </row>
    <row r="64" spans="1:2" hidden="1" x14ac:dyDescent="0.3">
      <c r="A64" s="4" t="s">
        <v>293</v>
      </c>
      <c r="B64" s="4" t="s">
        <v>59</v>
      </c>
    </row>
    <row r="65" spans="1:2" hidden="1" x14ac:dyDescent="0.3">
      <c r="A65" s="4" t="s">
        <v>294</v>
      </c>
      <c r="B65" s="4" t="s">
        <v>60</v>
      </c>
    </row>
    <row r="66" spans="1:2" hidden="1" x14ac:dyDescent="0.3">
      <c r="A66" s="4" t="s">
        <v>295</v>
      </c>
      <c r="B66" s="3" t="s">
        <v>61</v>
      </c>
    </row>
    <row r="67" spans="1:2" hidden="1" x14ac:dyDescent="0.25">
      <c r="A67" s="4" t="s">
        <v>296</v>
      </c>
      <c r="B67" s="5" t="s">
        <v>62</v>
      </c>
    </row>
    <row r="68" spans="1:2" hidden="1" x14ac:dyDescent="0.3">
      <c r="A68" s="4" t="s">
        <v>294</v>
      </c>
      <c r="B68" s="4" t="s">
        <v>60</v>
      </c>
    </row>
    <row r="69" spans="1:2" hidden="1" x14ac:dyDescent="0.3">
      <c r="A69" s="4" t="s">
        <v>297</v>
      </c>
      <c r="B69" s="4" t="s">
        <v>63</v>
      </c>
    </row>
    <row r="70" spans="1:2" hidden="1" x14ac:dyDescent="0.3">
      <c r="A70" s="4" t="s">
        <v>298</v>
      </c>
      <c r="B70" s="3" t="s">
        <v>64</v>
      </c>
    </row>
    <row r="71" spans="1:2" hidden="1" x14ac:dyDescent="0.25">
      <c r="A71" s="4" t="s">
        <v>299</v>
      </c>
      <c r="B71" s="5" t="s">
        <v>65</v>
      </c>
    </row>
    <row r="72" spans="1:2" hidden="1" x14ac:dyDescent="0.3">
      <c r="A72" s="4" t="s">
        <v>300</v>
      </c>
      <c r="B72" s="4" t="s">
        <v>56</v>
      </c>
    </row>
    <row r="73" spans="1:2" hidden="1" x14ac:dyDescent="0.3">
      <c r="A73" s="4" t="s">
        <v>301</v>
      </c>
      <c r="B73" s="4" t="s">
        <v>66</v>
      </c>
    </row>
    <row r="74" spans="1:2" hidden="1" x14ac:dyDescent="0.3">
      <c r="A74" s="4" t="s">
        <v>302</v>
      </c>
      <c r="B74" s="4" t="s">
        <v>67</v>
      </c>
    </row>
    <row r="75" spans="1:2" hidden="1" x14ac:dyDescent="0.3">
      <c r="A75" s="4" t="s">
        <v>303</v>
      </c>
      <c r="B75" s="4" t="s">
        <v>68</v>
      </c>
    </row>
    <row r="76" spans="1:2" hidden="1" x14ac:dyDescent="0.3">
      <c r="A76" s="4" t="s">
        <v>304</v>
      </c>
      <c r="B76" s="4" t="s">
        <v>8</v>
      </c>
    </row>
    <row r="77" spans="1:2" hidden="1" x14ac:dyDescent="0.3">
      <c r="A77" s="4" t="s">
        <v>305</v>
      </c>
      <c r="B77" s="4" t="s">
        <v>69</v>
      </c>
    </row>
    <row r="78" spans="1:2" hidden="1" x14ac:dyDescent="0.3">
      <c r="A78" s="7" t="s">
        <v>306</v>
      </c>
      <c r="B78" s="7" t="s">
        <v>8</v>
      </c>
    </row>
    <row r="79" spans="1:2" hidden="1" x14ac:dyDescent="0.3">
      <c r="A79" s="7" t="s">
        <v>307</v>
      </c>
      <c r="B79" s="7" t="s">
        <v>69</v>
      </c>
    </row>
    <row r="80" spans="1:2" hidden="1" x14ac:dyDescent="0.3">
      <c r="A80" s="7" t="s">
        <v>308</v>
      </c>
      <c r="B80" s="7" t="s">
        <v>70</v>
      </c>
    </row>
    <row r="81" spans="1:2" hidden="1" x14ac:dyDescent="0.25">
      <c r="A81" s="5" t="s">
        <v>309</v>
      </c>
      <c r="B81" s="5" t="s">
        <v>26</v>
      </c>
    </row>
    <row r="82" spans="1:2" hidden="1" x14ac:dyDescent="0.25">
      <c r="A82" s="5" t="s">
        <v>310</v>
      </c>
      <c r="B82" s="5" t="s">
        <v>65</v>
      </c>
    </row>
    <row r="83" spans="1:2" hidden="1" x14ac:dyDescent="0.25">
      <c r="A83" s="5" t="s">
        <v>311</v>
      </c>
      <c r="B83" s="5" t="s">
        <v>62</v>
      </c>
    </row>
    <row r="84" spans="1:2" hidden="1" x14ac:dyDescent="0.25">
      <c r="A84" s="5" t="s">
        <v>312</v>
      </c>
      <c r="B84" s="5" t="s">
        <v>71</v>
      </c>
    </row>
    <row r="85" spans="1:2" hidden="1" x14ac:dyDescent="0.25">
      <c r="A85" s="5" t="s">
        <v>313</v>
      </c>
      <c r="B85" s="5" t="s">
        <v>72</v>
      </c>
    </row>
    <row r="86" spans="1:2" hidden="1" x14ac:dyDescent="0.3">
      <c r="A86" s="4" t="s">
        <v>314</v>
      </c>
      <c r="B86" s="4" t="s">
        <v>73</v>
      </c>
    </row>
    <row r="87" spans="1:2" hidden="1" x14ac:dyDescent="0.25">
      <c r="A87" s="5" t="s">
        <v>315</v>
      </c>
      <c r="B87" s="3" t="s">
        <v>74</v>
      </c>
    </row>
    <row r="88" spans="1:2" hidden="1" x14ac:dyDescent="0.3">
      <c r="A88" s="4" t="s">
        <v>316</v>
      </c>
      <c r="B88" s="3" t="s">
        <v>75</v>
      </c>
    </row>
    <row r="89" spans="1:2" hidden="1" x14ac:dyDescent="0.3">
      <c r="A89" s="4" t="s">
        <v>317</v>
      </c>
      <c r="B89" s="4" t="s">
        <v>76</v>
      </c>
    </row>
    <row r="90" spans="1:2" hidden="1" x14ac:dyDescent="0.25">
      <c r="A90" s="5" t="s">
        <v>318</v>
      </c>
      <c r="B90" s="5" t="s">
        <v>77</v>
      </c>
    </row>
    <row r="91" spans="1:2" hidden="1" x14ac:dyDescent="0.25">
      <c r="A91" s="5" t="s">
        <v>78</v>
      </c>
      <c r="B91" s="5" t="s">
        <v>16</v>
      </c>
    </row>
    <row r="92" spans="1:2" hidden="1" x14ac:dyDescent="0.25">
      <c r="A92" s="5" t="s">
        <v>79</v>
      </c>
      <c r="B92" s="5" t="s">
        <v>26</v>
      </c>
    </row>
    <row r="93" spans="1:2" hidden="1" x14ac:dyDescent="0.25">
      <c r="A93" s="5" t="s">
        <v>319</v>
      </c>
      <c r="B93" s="3" t="s">
        <v>80</v>
      </c>
    </row>
    <row r="94" spans="1:2" hidden="1" x14ac:dyDescent="0.25">
      <c r="A94" s="2" t="s">
        <v>320</v>
      </c>
      <c r="B94" s="3" t="s">
        <v>81</v>
      </c>
    </row>
    <row r="95" spans="1:2" hidden="1" x14ac:dyDescent="0.25">
      <c r="A95" s="5" t="s">
        <v>321</v>
      </c>
      <c r="B95" s="3" t="s">
        <v>82</v>
      </c>
    </row>
    <row r="96" spans="1:2" hidden="1" x14ac:dyDescent="0.25">
      <c r="A96" s="5" t="s">
        <v>322</v>
      </c>
      <c r="B96" s="3" t="s">
        <v>81</v>
      </c>
    </row>
    <row r="97" spans="1:2" hidden="1" x14ac:dyDescent="0.25">
      <c r="A97" s="5" t="s">
        <v>83</v>
      </c>
      <c r="B97" s="3" t="s">
        <v>84</v>
      </c>
    </row>
    <row r="98" spans="1:2" hidden="1" x14ac:dyDescent="0.3">
      <c r="A98" s="7" t="s">
        <v>323</v>
      </c>
      <c r="B98" s="3" t="s">
        <v>22</v>
      </c>
    </row>
    <row r="99" spans="1:2" hidden="1" x14ac:dyDescent="0.3">
      <c r="A99" s="7" t="s">
        <v>323</v>
      </c>
      <c r="B99" s="3" t="s">
        <v>22</v>
      </c>
    </row>
    <row r="100" spans="1:2" hidden="1" x14ac:dyDescent="0.3">
      <c r="A100" s="7" t="s">
        <v>323</v>
      </c>
      <c r="B100" s="3" t="s">
        <v>22</v>
      </c>
    </row>
    <row r="101" spans="1:2" hidden="1" x14ac:dyDescent="0.25">
      <c r="A101" s="5" t="s">
        <v>85</v>
      </c>
      <c r="B101" s="3" t="s">
        <v>10</v>
      </c>
    </row>
    <row r="102" spans="1:2" hidden="1" x14ac:dyDescent="0.25">
      <c r="A102" s="5" t="s">
        <v>86</v>
      </c>
      <c r="B102" s="3" t="s">
        <v>87</v>
      </c>
    </row>
    <row r="103" spans="1:2" hidden="1" x14ac:dyDescent="0.3">
      <c r="A103" s="4" t="s">
        <v>324</v>
      </c>
      <c r="B103" s="4" t="s">
        <v>88</v>
      </c>
    </row>
    <row r="104" spans="1:2" hidden="1" x14ac:dyDescent="0.3">
      <c r="A104" s="4" t="s">
        <v>325</v>
      </c>
      <c r="B104" s="4" t="s">
        <v>89</v>
      </c>
    </row>
    <row r="105" spans="1:2" hidden="1" x14ac:dyDescent="0.3">
      <c r="A105" s="4" t="s">
        <v>326</v>
      </c>
      <c r="B105" s="4" t="s">
        <v>90</v>
      </c>
    </row>
    <row r="106" spans="1:2" hidden="1" x14ac:dyDescent="0.25">
      <c r="A106" s="5" t="s">
        <v>327</v>
      </c>
      <c r="B106" s="5" t="s">
        <v>14</v>
      </c>
    </row>
    <row r="107" spans="1:2" hidden="1" x14ac:dyDescent="0.25">
      <c r="A107" s="5" t="s">
        <v>328</v>
      </c>
      <c r="B107" s="5" t="s">
        <v>91</v>
      </c>
    </row>
    <row r="108" spans="1:2" hidden="1" x14ac:dyDescent="0.25">
      <c r="A108" s="5" t="s">
        <v>92</v>
      </c>
      <c r="B108" s="5" t="s">
        <v>84</v>
      </c>
    </row>
    <row r="109" spans="1:2" hidden="1" x14ac:dyDescent="0.3">
      <c r="A109" s="4" t="s">
        <v>93</v>
      </c>
      <c r="B109" s="3" t="s">
        <v>94</v>
      </c>
    </row>
    <row r="110" spans="1:2" hidden="1" x14ac:dyDescent="0.3">
      <c r="A110" s="4" t="s">
        <v>329</v>
      </c>
      <c r="B110" s="3" t="s">
        <v>95</v>
      </c>
    </row>
    <row r="111" spans="1:2" hidden="1" x14ac:dyDescent="0.3">
      <c r="A111" s="4" t="s">
        <v>330</v>
      </c>
      <c r="B111" s="3" t="s">
        <v>96</v>
      </c>
    </row>
    <row r="112" spans="1:2" hidden="1" x14ac:dyDescent="0.3">
      <c r="A112" s="4" t="s">
        <v>331</v>
      </c>
      <c r="B112" s="3" t="s">
        <v>97</v>
      </c>
    </row>
    <row r="113" spans="1:2" hidden="1" x14ac:dyDescent="0.3">
      <c r="A113" s="4" t="s">
        <v>332</v>
      </c>
      <c r="B113" s="3" t="s">
        <v>23</v>
      </c>
    </row>
    <row r="114" spans="1:2" hidden="1" x14ac:dyDescent="0.3">
      <c r="A114" s="7" t="s">
        <v>333</v>
      </c>
      <c r="B114" s="7" t="s">
        <v>81</v>
      </c>
    </row>
    <row r="115" spans="1:2" hidden="1" x14ac:dyDescent="0.3">
      <c r="A115" s="7" t="s">
        <v>334</v>
      </c>
      <c r="B115" s="7" t="s">
        <v>14</v>
      </c>
    </row>
    <row r="116" spans="1:2" hidden="1" x14ac:dyDescent="0.25">
      <c r="A116" s="5" t="s">
        <v>335</v>
      </c>
      <c r="B116" s="5" t="s">
        <v>58</v>
      </c>
    </row>
    <row r="117" spans="1:2" hidden="1" x14ac:dyDescent="0.25">
      <c r="A117" s="5" t="s">
        <v>98</v>
      </c>
      <c r="B117" s="5" t="s">
        <v>99</v>
      </c>
    </row>
    <row r="118" spans="1:2" hidden="1" x14ac:dyDescent="0.25">
      <c r="A118" s="5" t="s">
        <v>100</v>
      </c>
      <c r="B118" s="5" t="s">
        <v>77</v>
      </c>
    </row>
    <row r="119" spans="1:2" hidden="1" x14ac:dyDescent="0.3">
      <c r="A119" s="7" t="s">
        <v>336</v>
      </c>
      <c r="B119" s="7" t="s">
        <v>87</v>
      </c>
    </row>
    <row r="120" spans="1:2" hidden="1" x14ac:dyDescent="0.3">
      <c r="A120" s="7" t="s">
        <v>337</v>
      </c>
      <c r="B120" s="7" t="s">
        <v>101</v>
      </c>
    </row>
    <row r="121" spans="1:2" hidden="1" x14ac:dyDescent="0.3">
      <c r="A121" s="7" t="s">
        <v>338</v>
      </c>
      <c r="B121" s="7" t="s">
        <v>102</v>
      </c>
    </row>
    <row r="122" spans="1:2" hidden="1" x14ac:dyDescent="0.3">
      <c r="A122" s="7" t="s">
        <v>339</v>
      </c>
      <c r="B122" s="7" t="s">
        <v>103</v>
      </c>
    </row>
    <row r="123" spans="1:2" hidden="1" x14ac:dyDescent="0.3">
      <c r="A123" s="4" t="s">
        <v>340</v>
      </c>
      <c r="B123" s="4" t="s">
        <v>58</v>
      </c>
    </row>
    <row r="124" spans="1:2" hidden="1" x14ac:dyDescent="0.3">
      <c r="A124" s="4" t="s">
        <v>341</v>
      </c>
      <c r="B124" s="4" t="s">
        <v>19</v>
      </c>
    </row>
    <row r="125" spans="1:2" hidden="1" x14ac:dyDescent="0.3">
      <c r="A125" s="4" t="s">
        <v>342</v>
      </c>
      <c r="B125" s="4" t="s">
        <v>104</v>
      </c>
    </row>
    <row r="126" spans="1:2" hidden="1" x14ac:dyDescent="0.25">
      <c r="A126" s="5" t="s">
        <v>343</v>
      </c>
      <c r="B126" s="5" t="s">
        <v>10</v>
      </c>
    </row>
    <row r="127" spans="1:2" hidden="1" x14ac:dyDescent="0.25">
      <c r="A127" s="5" t="s">
        <v>344</v>
      </c>
      <c r="B127" s="5" t="s">
        <v>14</v>
      </c>
    </row>
    <row r="128" spans="1:2" hidden="1" x14ac:dyDescent="0.3">
      <c r="A128" s="4" t="s">
        <v>345</v>
      </c>
      <c r="B128" s="4" t="s">
        <v>34</v>
      </c>
    </row>
    <row r="129" spans="1:2" hidden="1" x14ac:dyDescent="0.3">
      <c r="A129" s="4" t="s">
        <v>346</v>
      </c>
      <c r="B129" s="4" t="s">
        <v>105</v>
      </c>
    </row>
    <row r="130" spans="1:2" hidden="1" x14ac:dyDescent="0.3">
      <c r="A130" s="4" t="s">
        <v>347</v>
      </c>
      <c r="B130" s="4" t="s">
        <v>101</v>
      </c>
    </row>
    <row r="131" spans="1:2" x14ac:dyDescent="0.3">
      <c r="B131" s="4" t="s">
        <v>189</v>
      </c>
    </row>
    <row r="132" spans="1:2" hidden="1" x14ac:dyDescent="0.3">
      <c r="A132" s="4" t="s">
        <v>348</v>
      </c>
      <c r="B132" s="4" t="s">
        <v>106</v>
      </c>
    </row>
    <row r="133" spans="1:2" hidden="1" x14ac:dyDescent="0.3">
      <c r="A133" s="4" t="s">
        <v>349</v>
      </c>
      <c r="B133" s="4" t="s">
        <v>107</v>
      </c>
    </row>
    <row r="134" spans="1:2" hidden="1" x14ac:dyDescent="0.3">
      <c r="A134" s="4" t="s">
        <v>350</v>
      </c>
      <c r="B134" s="4" t="s">
        <v>108</v>
      </c>
    </row>
    <row r="135" spans="1:2" hidden="1" x14ac:dyDescent="0.3">
      <c r="A135" s="4" t="s">
        <v>351</v>
      </c>
      <c r="B135" s="4" t="s">
        <v>109</v>
      </c>
    </row>
    <row r="136" spans="1:2" hidden="1" x14ac:dyDescent="0.3">
      <c r="A136" s="4" t="s">
        <v>352</v>
      </c>
      <c r="B136" s="4" t="s">
        <v>110</v>
      </c>
    </row>
    <row r="137" spans="1:2" hidden="1" x14ac:dyDescent="0.3">
      <c r="A137" s="4" t="s">
        <v>353</v>
      </c>
      <c r="B137" s="4" t="s">
        <v>111</v>
      </c>
    </row>
    <row r="138" spans="1:2" hidden="1" x14ac:dyDescent="0.3">
      <c r="A138" s="4" t="s">
        <v>354</v>
      </c>
      <c r="B138" s="4" t="s">
        <v>112</v>
      </c>
    </row>
    <row r="139" spans="1:2" hidden="1" x14ac:dyDescent="0.3">
      <c r="A139" s="4" t="s">
        <v>355</v>
      </c>
      <c r="B139" s="4" t="s">
        <v>113</v>
      </c>
    </row>
    <row r="140" spans="1:2" hidden="1" x14ac:dyDescent="0.3">
      <c r="A140" s="7" t="s">
        <v>356</v>
      </c>
      <c r="B140" s="7" t="s">
        <v>26</v>
      </c>
    </row>
    <row r="141" spans="1:2" x14ac:dyDescent="0.3">
      <c r="B141" s="4" t="s">
        <v>190</v>
      </c>
    </row>
    <row r="142" spans="1:2" hidden="1" x14ac:dyDescent="0.3">
      <c r="A142" s="4" t="s">
        <v>357</v>
      </c>
      <c r="B142" s="4" t="s">
        <v>99</v>
      </c>
    </row>
    <row r="143" spans="1:2" hidden="1" x14ac:dyDescent="0.3">
      <c r="A143" s="7" t="s">
        <v>358</v>
      </c>
      <c r="B143" s="7" t="s">
        <v>77</v>
      </c>
    </row>
    <row r="144" spans="1:2" hidden="1" x14ac:dyDescent="0.25">
      <c r="A144" s="5" t="s">
        <v>114</v>
      </c>
      <c r="B144" s="5" t="s">
        <v>24</v>
      </c>
    </row>
    <row r="145" spans="1:2" hidden="1" x14ac:dyDescent="0.3">
      <c r="A145" s="4" t="s">
        <v>359</v>
      </c>
      <c r="B145" s="4" t="s">
        <v>111</v>
      </c>
    </row>
    <row r="146" spans="1:2" hidden="1" x14ac:dyDescent="0.3">
      <c r="A146" s="4" t="s">
        <v>360</v>
      </c>
      <c r="B146" s="4" t="s">
        <v>115</v>
      </c>
    </row>
    <row r="147" spans="1:2" x14ac:dyDescent="0.3">
      <c r="B147" s="4" t="s">
        <v>191</v>
      </c>
    </row>
    <row r="148" spans="1:2" hidden="1" x14ac:dyDescent="0.25">
      <c r="A148" s="8" t="s">
        <v>361</v>
      </c>
      <c r="B148" s="8" t="s">
        <v>81</v>
      </c>
    </row>
    <row r="149" spans="1:2" hidden="1" x14ac:dyDescent="0.3">
      <c r="A149" s="4" t="s">
        <v>362</v>
      </c>
      <c r="B149" s="4" t="s">
        <v>116</v>
      </c>
    </row>
    <row r="150" spans="1:2" hidden="1" x14ac:dyDescent="0.3">
      <c r="A150" s="4" t="s">
        <v>363</v>
      </c>
      <c r="B150" s="4" t="s">
        <v>101</v>
      </c>
    </row>
    <row r="151" spans="1:2" hidden="1" x14ac:dyDescent="0.3">
      <c r="A151" s="7" t="s">
        <v>364</v>
      </c>
      <c r="B151" s="7" t="s">
        <v>110</v>
      </c>
    </row>
    <row r="152" spans="1:2" hidden="1" x14ac:dyDescent="0.3">
      <c r="A152" s="7" t="s">
        <v>365</v>
      </c>
      <c r="B152" s="7" t="s">
        <v>109</v>
      </c>
    </row>
    <row r="153" spans="1:2" hidden="1" x14ac:dyDescent="0.25">
      <c r="A153" s="5" t="s">
        <v>366</v>
      </c>
      <c r="B153" s="5" t="s">
        <v>77</v>
      </c>
    </row>
    <row r="154" spans="1:2" hidden="1" x14ac:dyDescent="0.3">
      <c r="A154" s="4" t="s">
        <v>367</v>
      </c>
      <c r="B154" s="4" t="s">
        <v>117</v>
      </c>
    </row>
    <row r="155" spans="1:2" x14ac:dyDescent="0.3">
      <c r="B155" s="4" t="s">
        <v>192</v>
      </c>
    </row>
    <row r="156" spans="1:2" x14ac:dyDescent="0.3">
      <c r="B156" s="4" t="s">
        <v>193</v>
      </c>
    </row>
    <row r="157" spans="1:2" x14ac:dyDescent="0.3">
      <c r="B157" s="4" t="s">
        <v>194</v>
      </c>
    </row>
    <row r="158" spans="1:2" hidden="1" x14ac:dyDescent="0.3">
      <c r="A158" s="4" t="s">
        <v>368</v>
      </c>
      <c r="B158" s="4" t="s">
        <v>118</v>
      </c>
    </row>
    <row r="159" spans="1:2" hidden="1" x14ac:dyDescent="0.3">
      <c r="A159" s="4" t="s">
        <v>369</v>
      </c>
      <c r="B159" s="4" t="s">
        <v>119</v>
      </c>
    </row>
    <row r="160" spans="1:2" hidden="1" x14ac:dyDescent="0.3">
      <c r="A160" s="4" t="s">
        <v>370</v>
      </c>
      <c r="B160" s="4" t="s">
        <v>109</v>
      </c>
    </row>
    <row r="161" spans="1:2" hidden="1" x14ac:dyDescent="0.3">
      <c r="A161" s="4" t="s">
        <v>120</v>
      </c>
      <c r="B161" s="4" t="s">
        <v>102</v>
      </c>
    </row>
    <row r="162" spans="1:2" hidden="1" x14ac:dyDescent="0.25">
      <c r="A162" s="5" t="s">
        <v>121</v>
      </c>
      <c r="B162" s="5" t="s">
        <v>23</v>
      </c>
    </row>
    <row r="163" spans="1:2" x14ac:dyDescent="0.3">
      <c r="B163" s="4" t="s">
        <v>195</v>
      </c>
    </row>
    <row r="164" spans="1:2" x14ac:dyDescent="0.3">
      <c r="B164" s="4" t="s">
        <v>196</v>
      </c>
    </row>
    <row r="165" spans="1:2" hidden="1" x14ac:dyDescent="0.3">
      <c r="A165" s="4" t="s">
        <v>371</v>
      </c>
      <c r="B165" s="4" t="s">
        <v>42</v>
      </c>
    </row>
    <row r="166" spans="1:2" x14ac:dyDescent="0.3">
      <c r="B166" s="4" t="s">
        <v>197</v>
      </c>
    </row>
    <row r="167" spans="1:2" x14ac:dyDescent="0.3">
      <c r="B167" s="4" t="s">
        <v>198</v>
      </c>
    </row>
    <row r="168" spans="1:2" x14ac:dyDescent="0.3">
      <c r="B168" s="4" t="s">
        <v>199</v>
      </c>
    </row>
    <row r="169" spans="1:2" hidden="1" x14ac:dyDescent="0.3">
      <c r="A169" s="4" t="s">
        <v>372</v>
      </c>
      <c r="B169" s="4" t="s">
        <v>122</v>
      </c>
    </row>
    <row r="170" spans="1:2" x14ac:dyDescent="0.3">
      <c r="B170" s="4" t="s">
        <v>200</v>
      </c>
    </row>
    <row r="171" spans="1:2" hidden="1" x14ac:dyDescent="0.3">
      <c r="A171" s="4" t="s">
        <v>373</v>
      </c>
      <c r="B171" s="4" t="s">
        <v>123</v>
      </c>
    </row>
    <row r="172" spans="1:2" hidden="1" x14ac:dyDescent="0.3">
      <c r="A172" s="4" t="s">
        <v>374</v>
      </c>
      <c r="B172" s="4" t="s">
        <v>2</v>
      </c>
    </row>
    <row r="173" spans="1:2" hidden="1" x14ac:dyDescent="0.3">
      <c r="A173" s="7" t="s">
        <v>375</v>
      </c>
      <c r="B173" s="7" t="s">
        <v>10</v>
      </c>
    </row>
    <row r="174" spans="1:2" hidden="1" x14ac:dyDescent="0.3">
      <c r="A174" s="4" t="s">
        <v>376</v>
      </c>
      <c r="B174" s="4" t="s">
        <v>124</v>
      </c>
    </row>
    <row r="175" spans="1:2" x14ac:dyDescent="0.3">
      <c r="B175" s="4" t="s">
        <v>201</v>
      </c>
    </row>
    <row r="176" spans="1:2" hidden="1" x14ac:dyDescent="0.3">
      <c r="A176" s="4" t="s">
        <v>377</v>
      </c>
      <c r="B176" s="4" t="s">
        <v>125</v>
      </c>
    </row>
    <row r="177" spans="1:2" hidden="1" x14ac:dyDescent="0.3">
      <c r="A177" s="4" t="s">
        <v>378</v>
      </c>
      <c r="B177" s="4" t="s">
        <v>126</v>
      </c>
    </row>
    <row r="178" spans="1:2" hidden="1" x14ac:dyDescent="0.3">
      <c r="A178" s="4" t="s">
        <v>379</v>
      </c>
      <c r="B178" s="4" t="s">
        <v>22</v>
      </c>
    </row>
    <row r="179" spans="1:2" hidden="1" x14ac:dyDescent="0.3">
      <c r="A179" s="4" t="s">
        <v>380</v>
      </c>
      <c r="B179" s="4" t="s">
        <v>23</v>
      </c>
    </row>
    <row r="180" spans="1:2" hidden="1" x14ac:dyDescent="0.3">
      <c r="A180" s="7" t="s">
        <v>381</v>
      </c>
      <c r="B180" s="7" t="s">
        <v>111</v>
      </c>
    </row>
    <row r="181" spans="1:2" hidden="1" x14ac:dyDescent="0.3">
      <c r="A181" s="7" t="s">
        <v>382</v>
      </c>
      <c r="B181" s="7" t="s">
        <v>16</v>
      </c>
    </row>
    <row r="182" spans="1:2" x14ac:dyDescent="0.3">
      <c r="B182" s="4" t="s">
        <v>202</v>
      </c>
    </row>
    <row r="183" spans="1:2" hidden="1" x14ac:dyDescent="0.3">
      <c r="A183" s="4" t="s">
        <v>383</v>
      </c>
      <c r="B183" s="4" t="s">
        <v>127</v>
      </c>
    </row>
    <row r="184" spans="1:2" hidden="1" x14ac:dyDescent="0.3">
      <c r="A184" s="7" t="s">
        <v>384</v>
      </c>
      <c r="B184" s="7" t="s">
        <v>123</v>
      </c>
    </row>
    <row r="185" spans="1:2" hidden="1" x14ac:dyDescent="0.25">
      <c r="A185" s="5" t="s">
        <v>128</v>
      </c>
      <c r="B185" s="5" t="s">
        <v>16</v>
      </c>
    </row>
    <row r="186" spans="1:2" hidden="1" x14ac:dyDescent="0.25">
      <c r="A186" s="5" t="s">
        <v>129</v>
      </c>
      <c r="B186" s="5" t="s">
        <v>22</v>
      </c>
    </row>
    <row r="187" spans="1:2" hidden="1" x14ac:dyDescent="0.3">
      <c r="A187" s="4" t="s">
        <v>385</v>
      </c>
      <c r="B187" s="4" t="s">
        <v>109</v>
      </c>
    </row>
    <row r="188" spans="1:2" hidden="1" x14ac:dyDescent="0.3">
      <c r="A188" s="4" t="s">
        <v>386</v>
      </c>
      <c r="B188" s="4" t="s">
        <v>110</v>
      </c>
    </row>
    <row r="189" spans="1:2" hidden="1" x14ac:dyDescent="0.3">
      <c r="A189" s="4" t="s">
        <v>387</v>
      </c>
      <c r="B189" s="4" t="s">
        <v>130</v>
      </c>
    </row>
    <row r="190" spans="1:2" hidden="1" x14ac:dyDescent="0.25">
      <c r="A190" s="2" t="s">
        <v>388</v>
      </c>
      <c r="B190" s="2" t="s">
        <v>87</v>
      </c>
    </row>
    <row r="191" spans="1:2" hidden="1" x14ac:dyDescent="0.3">
      <c r="A191" s="4" t="s">
        <v>389</v>
      </c>
      <c r="B191" s="4" t="s">
        <v>88</v>
      </c>
    </row>
    <row r="192" spans="1:2" hidden="1" x14ac:dyDescent="0.3">
      <c r="A192" s="4" t="s">
        <v>390</v>
      </c>
      <c r="B192" s="4" t="s">
        <v>41</v>
      </c>
    </row>
    <row r="193" spans="1:2" hidden="1" x14ac:dyDescent="0.3">
      <c r="A193" s="4" t="s">
        <v>391</v>
      </c>
      <c r="B193" s="4" t="s">
        <v>131</v>
      </c>
    </row>
    <row r="194" spans="1:2" hidden="1" x14ac:dyDescent="0.25">
      <c r="A194" s="2" t="s">
        <v>132</v>
      </c>
      <c r="B194" s="2" t="s">
        <v>133</v>
      </c>
    </row>
    <row r="195" spans="1:2" x14ac:dyDescent="0.3">
      <c r="B195" s="4" t="s">
        <v>203</v>
      </c>
    </row>
    <row r="196" spans="1:2" hidden="1" x14ac:dyDescent="0.25">
      <c r="A196" s="5" t="s">
        <v>134</v>
      </c>
      <c r="B196" s="5" t="s">
        <v>102</v>
      </c>
    </row>
    <row r="197" spans="1:2" x14ac:dyDescent="0.3">
      <c r="B197" s="4" t="s">
        <v>204</v>
      </c>
    </row>
    <row r="198" spans="1:2" hidden="1" x14ac:dyDescent="0.3">
      <c r="A198" s="4" t="s">
        <v>392</v>
      </c>
      <c r="B198" s="4" t="s">
        <v>2</v>
      </c>
    </row>
    <row r="199" spans="1:2" hidden="1" x14ac:dyDescent="0.25">
      <c r="A199" s="2" t="s">
        <v>393</v>
      </c>
      <c r="B199" s="2" t="s">
        <v>16</v>
      </c>
    </row>
    <row r="200" spans="1:2" hidden="1" x14ac:dyDescent="0.3">
      <c r="A200" s="4" t="s">
        <v>394</v>
      </c>
      <c r="B200" s="4" t="s">
        <v>124</v>
      </c>
    </row>
    <row r="201" spans="1:2" x14ac:dyDescent="0.3">
      <c r="B201" s="4" t="s">
        <v>205</v>
      </c>
    </row>
    <row r="202" spans="1:2" hidden="1" x14ac:dyDescent="0.3">
      <c r="A202" s="4" t="s">
        <v>392</v>
      </c>
      <c r="B202" s="4" t="s">
        <v>2</v>
      </c>
    </row>
    <row r="203" spans="1:2" hidden="1" x14ac:dyDescent="0.3">
      <c r="A203" s="4" t="s">
        <v>395</v>
      </c>
      <c r="B203" s="4" t="s">
        <v>24</v>
      </c>
    </row>
    <row r="204" spans="1:2" hidden="1" x14ac:dyDescent="0.25">
      <c r="A204" s="5" t="s">
        <v>135</v>
      </c>
      <c r="B204" s="5" t="s">
        <v>14</v>
      </c>
    </row>
    <row r="205" spans="1:2" x14ac:dyDescent="0.3">
      <c r="B205" s="4" t="s">
        <v>206</v>
      </c>
    </row>
    <row r="206" spans="1:2" hidden="1" x14ac:dyDescent="0.3">
      <c r="A206" s="7" t="s">
        <v>396</v>
      </c>
      <c r="B206" s="7" t="s">
        <v>99</v>
      </c>
    </row>
    <row r="207" spans="1:2" hidden="1" x14ac:dyDescent="0.3">
      <c r="A207" s="4" t="s">
        <v>397</v>
      </c>
      <c r="B207" s="4" t="s">
        <v>105</v>
      </c>
    </row>
    <row r="208" spans="1:2" x14ac:dyDescent="0.3">
      <c r="B208" s="4" t="s">
        <v>207</v>
      </c>
    </row>
    <row r="209" spans="1:2" x14ac:dyDescent="0.3">
      <c r="B209" s="4" t="s">
        <v>208</v>
      </c>
    </row>
    <row r="210" spans="1:2" hidden="1" x14ac:dyDescent="0.3">
      <c r="A210" s="4" t="s">
        <v>398</v>
      </c>
      <c r="B210" s="4" t="s">
        <v>136</v>
      </c>
    </row>
    <row r="211" spans="1:2" hidden="1" x14ac:dyDescent="0.3">
      <c r="A211" s="4" t="s">
        <v>399</v>
      </c>
      <c r="B211" s="4" t="s">
        <v>23</v>
      </c>
    </row>
    <row r="212" spans="1:2" x14ac:dyDescent="0.3">
      <c r="B212" s="4" t="s">
        <v>209</v>
      </c>
    </row>
    <row r="213" spans="1:2" hidden="1" x14ac:dyDescent="0.3">
      <c r="A213" s="4" t="s">
        <v>400</v>
      </c>
      <c r="B213" s="4" t="s">
        <v>66</v>
      </c>
    </row>
    <row r="214" spans="1:2" x14ac:dyDescent="0.3">
      <c r="B214" s="4" t="s">
        <v>210</v>
      </c>
    </row>
    <row r="215" spans="1:2" hidden="1" x14ac:dyDescent="0.3">
      <c r="A215" s="7" t="s">
        <v>401</v>
      </c>
      <c r="B215" s="7" t="s">
        <v>80</v>
      </c>
    </row>
    <row r="216" spans="1:2" hidden="1" x14ac:dyDescent="0.25">
      <c r="A216" s="5" t="s">
        <v>402</v>
      </c>
      <c r="B216" s="5" t="s">
        <v>55</v>
      </c>
    </row>
    <row r="217" spans="1:2" hidden="1" x14ac:dyDescent="0.3">
      <c r="A217" s="4" t="s">
        <v>403</v>
      </c>
      <c r="B217" s="4" t="s">
        <v>137</v>
      </c>
    </row>
    <row r="218" spans="1:2" x14ac:dyDescent="0.3">
      <c r="B218" s="4" t="s">
        <v>211</v>
      </c>
    </row>
    <row r="219" spans="1:2" x14ac:dyDescent="0.3">
      <c r="B219" s="4" t="s">
        <v>212</v>
      </c>
    </row>
    <row r="220" spans="1:2" hidden="1" x14ac:dyDescent="0.3">
      <c r="A220" s="7" t="s">
        <v>404</v>
      </c>
      <c r="B220" s="7" t="s">
        <v>58</v>
      </c>
    </row>
    <row r="221" spans="1:2" x14ac:dyDescent="0.3">
      <c r="B221" s="4" t="s">
        <v>213</v>
      </c>
    </row>
    <row r="222" spans="1:2" x14ac:dyDescent="0.3">
      <c r="B222" s="4" t="s">
        <v>214</v>
      </c>
    </row>
    <row r="223" spans="1:2" x14ac:dyDescent="0.3">
      <c r="B223" s="4" t="s">
        <v>215</v>
      </c>
    </row>
    <row r="224" spans="1:2" x14ac:dyDescent="0.3">
      <c r="B224" s="4" t="s">
        <v>216</v>
      </c>
    </row>
    <row r="225" spans="1:2" hidden="1" x14ac:dyDescent="0.3">
      <c r="A225" s="4" t="s">
        <v>405</v>
      </c>
      <c r="B225" s="4" t="s">
        <v>138</v>
      </c>
    </row>
    <row r="226" spans="1:2" x14ac:dyDescent="0.3">
      <c r="B226" s="4" t="s">
        <v>217</v>
      </c>
    </row>
    <row r="227" spans="1:2" hidden="1" x14ac:dyDescent="0.3">
      <c r="A227" s="4" t="s">
        <v>406</v>
      </c>
      <c r="B227" s="4" t="s">
        <v>139</v>
      </c>
    </row>
    <row r="228" spans="1:2" hidden="1" x14ac:dyDescent="0.3">
      <c r="A228" s="4" t="s">
        <v>407</v>
      </c>
      <c r="B228" s="4" t="s">
        <v>140</v>
      </c>
    </row>
    <row r="229" spans="1:2" hidden="1" x14ac:dyDescent="0.3">
      <c r="A229" s="4" t="s">
        <v>408</v>
      </c>
      <c r="B229" s="4" t="s">
        <v>141</v>
      </c>
    </row>
    <row r="230" spans="1:2" hidden="1" x14ac:dyDescent="0.3">
      <c r="A230" s="4" t="s">
        <v>409</v>
      </c>
      <c r="B230" s="4" t="s">
        <v>142</v>
      </c>
    </row>
    <row r="231" spans="1:2" hidden="1" x14ac:dyDescent="0.3">
      <c r="A231" s="4" t="s">
        <v>410</v>
      </c>
      <c r="B231" s="4" t="s">
        <v>143</v>
      </c>
    </row>
    <row r="232" spans="1:2" hidden="1" x14ac:dyDescent="0.3">
      <c r="A232" s="4" t="s">
        <v>411</v>
      </c>
      <c r="B232" s="4" t="s">
        <v>139</v>
      </c>
    </row>
    <row r="233" spans="1:2" hidden="1" x14ac:dyDescent="0.3">
      <c r="A233" s="7" t="s">
        <v>412</v>
      </c>
      <c r="B233" s="7" t="s">
        <v>115</v>
      </c>
    </row>
    <row r="234" spans="1:2" hidden="1" x14ac:dyDescent="0.3">
      <c r="A234" s="4" t="s">
        <v>413</v>
      </c>
      <c r="B234" s="4" t="s">
        <v>144</v>
      </c>
    </row>
    <row r="235" spans="1:2" x14ac:dyDescent="0.3">
      <c r="B235" s="4" t="s">
        <v>218</v>
      </c>
    </row>
    <row r="236" spans="1:2" hidden="1" x14ac:dyDescent="0.3">
      <c r="A236" s="4" t="s">
        <v>145</v>
      </c>
      <c r="B236" s="4" t="s">
        <v>80</v>
      </c>
    </row>
    <row r="237" spans="1:2" hidden="1" x14ac:dyDescent="0.3">
      <c r="A237" s="4" t="s">
        <v>146</v>
      </c>
      <c r="B237" s="4" t="s">
        <v>102</v>
      </c>
    </row>
    <row r="238" spans="1:2" x14ac:dyDescent="0.3">
      <c r="B238" s="4" t="s">
        <v>219</v>
      </c>
    </row>
    <row r="239" spans="1:2" hidden="1" x14ac:dyDescent="0.3">
      <c r="A239" s="4" t="s">
        <v>147</v>
      </c>
      <c r="B239" s="4" t="s">
        <v>80</v>
      </c>
    </row>
    <row r="240" spans="1:2" hidden="1" x14ac:dyDescent="0.3">
      <c r="A240" s="4" t="s">
        <v>414</v>
      </c>
      <c r="B240" s="4" t="s">
        <v>148</v>
      </c>
    </row>
    <row r="241" spans="1:2" hidden="1" x14ac:dyDescent="0.3">
      <c r="A241" s="4" t="s">
        <v>415</v>
      </c>
      <c r="B241" s="4" t="s">
        <v>149</v>
      </c>
    </row>
    <row r="242" spans="1:2" hidden="1" x14ac:dyDescent="0.3">
      <c r="A242" s="4" t="s">
        <v>150</v>
      </c>
      <c r="B242" s="4" t="s">
        <v>151</v>
      </c>
    </row>
    <row r="243" spans="1:2" hidden="1" x14ac:dyDescent="0.3">
      <c r="A243" s="4" t="s">
        <v>152</v>
      </c>
      <c r="B243" s="4" t="s">
        <v>119</v>
      </c>
    </row>
    <row r="244" spans="1:2" hidden="1" x14ac:dyDescent="0.3">
      <c r="A244" s="4" t="s">
        <v>416</v>
      </c>
      <c r="B244" s="4" t="s">
        <v>127</v>
      </c>
    </row>
    <row r="245" spans="1:2" hidden="1" x14ac:dyDescent="0.25">
      <c r="A245" s="5" t="s">
        <v>153</v>
      </c>
      <c r="B245" s="5" t="s">
        <v>34</v>
      </c>
    </row>
    <row r="246" spans="1:2" hidden="1" x14ac:dyDescent="0.25">
      <c r="A246" s="5" t="s">
        <v>154</v>
      </c>
      <c r="B246" s="5" t="s">
        <v>109</v>
      </c>
    </row>
    <row r="247" spans="1:2" hidden="1" x14ac:dyDescent="0.3">
      <c r="A247" s="4" t="s">
        <v>417</v>
      </c>
      <c r="B247" s="4" t="s">
        <v>105</v>
      </c>
    </row>
    <row r="248" spans="1:2" x14ac:dyDescent="0.3">
      <c r="B248" s="4" t="s">
        <v>220</v>
      </c>
    </row>
    <row r="249" spans="1:2" x14ac:dyDescent="0.3">
      <c r="B249" s="4" t="s">
        <v>221</v>
      </c>
    </row>
    <row r="250" spans="1:2" hidden="1" x14ac:dyDescent="0.3">
      <c r="A250" s="4" t="s">
        <v>418</v>
      </c>
      <c r="B250" s="4" t="s">
        <v>133</v>
      </c>
    </row>
    <row r="251" spans="1:2" hidden="1" x14ac:dyDescent="0.3">
      <c r="A251" s="4" t="s">
        <v>419</v>
      </c>
      <c r="B251" s="4" t="s">
        <v>143</v>
      </c>
    </row>
    <row r="252" spans="1:2" hidden="1" x14ac:dyDescent="0.3">
      <c r="A252" s="4" t="s">
        <v>420</v>
      </c>
      <c r="B252" s="4" t="s">
        <v>155</v>
      </c>
    </row>
    <row r="253" spans="1:2" hidden="1" x14ac:dyDescent="0.3">
      <c r="A253" s="4" t="s">
        <v>421</v>
      </c>
      <c r="B253" s="4" t="s">
        <v>155</v>
      </c>
    </row>
    <row r="254" spans="1:2" hidden="1" x14ac:dyDescent="0.3">
      <c r="A254" s="4" t="s">
        <v>422</v>
      </c>
      <c r="B254" s="4" t="s">
        <v>140</v>
      </c>
    </row>
    <row r="255" spans="1:2" hidden="1" x14ac:dyDescent="0.3">
      <c r="A255" s="4" t="s">
        <v>423</v>
      </c>
      <c r="B255" s="4" t="s">
        <v>156</v>
      </c>
    </row>
    <row r="256" spans="1:2" hidden="1" x14ac:dyDescent="0.3">
      <c r="A256" s="4" t="s">
        <v>424</v>
      </c>
      <c r="B256" s="4" t="s">
        <v>105</v>
      </c>
    </row>
    <row r="257" spans="1:2" hidden="1" x14ac:dyDescent="0.3">
      <c r="A257" s="4" t="s">
        <v>425</v>
      </c>
      <c r="B257" s="4" t="s">
        <v>157</v>
      </c>
    </row>
    <row r="258" spans="1:2" hidden="1" x14ac:dyDescent="0.3">
      <c r="A258" s="4" t="s">
        <v>426</v>
      </c>
      <c r="B258" s="4" t="s">
        <v>158</v>
      </c>
    </row>
    <row r="259" spans="1:2" hidden="1" x14ac:dyDescent="0.3">
      <c r="A259" s="7" t="s">
        <v>159</v>
      </c>
      <c r="B259" s="7" t="s">
        <v>81</v>
      </c>
    </row>
    <row r="260" spans="1:2" x14ac:dyDescent="0.3">
      <c r="B260" s="4" t="s">
        <v>222</v>
      </c>
    </row>
    <row r="261" spans="1:2" hidden="1" x14ac:dyDescent="0.3">
      <c r="A261" s="4" t="s">
        <v>427</v>
      </c>
      <c r="B261" s="4" t="s">
        <v>139</v>
      </c>
    </row>
    <row r="262" spans="1:2" x14ac:dyDescent="0.3">
      <c r="B262" s="4" t="s">
        <v>223</v>
      </c>
    </row>
    <row r="263" spans="1:2" hidden="1" x14ac:dyDescent="0.3">
      <c r="A263" s="7" t="s">
        <v>428</v>
      </c>
      <c r="B263" s="7" t="s">
        <v>160</v>
      </c>
    </row>
    <row r="264" spans="1:2" hidden="1" x14ac:dyDescent="0.3">
      <c r="A264" s="4" t="s">
        <v>429</v>
      </c>
      <c r="B264" s="4" t="s">
        <v>161</v>
      </c>
    </row>
    <row r="265" spans="1:2" hidden="1" x14ac:dyDescent="0.3">
      <c r="A265" s="4" t="s">
        <v>430</v>
      </c>
      <c r="B265" s="4" t="s">
        <v>156</v>
      </c>
    </row>
    <row r="266" spans="1:2" hidden="1" x14ac:dyDescent="0.3">
      <c r="A266" s="4" t="s">
        <v>162</v>
      </c>
      <c r="B266" s="4" t="s">
        <v>163</v>
      </c>
    </row>
    <row r="267" spans="1:2" x14ac:dyDescent="0.3">
      <c r="B267" s="4" t="s">
        <v>224</v>
      </c>
    </row>
    <row r="268" spans="1:2" x14ac:dyDescent="0.3">
      <c r="B268" s="4" t="s">
        <v>225</v>
      </c>
    </row>
    <row r="269" spans="1:2" hidden="1" x14ac:dyDescent="0.3">
      <c r="A269" s="4" t="s">
        <v>431</v>
      </c>
      <c r="B269" s="4" t="s">
        <v>164</v>
      </c>
    </row>
    <row r="270" spans="1:2" x14ac:dyDescent="0.3">
      <c r="B270" s="4" t="s">
        <v>226</v>
      </c>
    </row>
    <row r="271" spans="1:2" hidden="1" x14ac:dyDescent="0.3">
      <c r="A271" s="4" t="s">
        <v>432</v>
      </c>
      <c r="B271" s="4" t="s">
        <v>87</v>
      </c>
    </row>
    <row r="272" spans="1:2" x14ac:dyDescent="0.3">
      <c r="B272" s="4" t="s">
        <v>227</v>
      </c>
    </row>
    <row r="273" spans="1:2" hidden="1" x14ac:dyDescent="0.3">
      <c r="A273" s="4" t="s">
        <v>165</v>
      </c>
      <c r="B273" s="4" t="s">
        <v>34</v>
      </c>
    </row>
    <row r="274" spans="1:2" x14ac:dyDescent="0.3">
      <c r="B274" s="4" t="s">
        <v>228</v>
      </c>
    </row>
    <row r="275" spans="1:2" hidden="1" x14ac:dyDescent="0.3">
      <c r="A275" s="4" t="s">
        <v>166</v>
      </c>
      <c r="B275" s="4" t="s">
        <v>123</v>
      </c>
    </row>
    <row r="276" spans="1:2" hidden="1" x14ac:dyDescent="0.3">
      <c r="A276" s="4" t="s">
        <v>167</v>
      </c>
      <c r="B276" s="4" t="s">
        <v>26</v>
      </c>
    </row>
    <row r="277" spans="1:2" hidden="1" x14ac:dyDescent="0.3">
      <c r="A277" s="4" t="s">
        <v>433</v>
      </c>
      <c r="B277" s="4" t="s">
        <v>118</v>
      </c>
    </row>
    <row r="278" spans="1:2" hidden="1" x14ac:dyDescent="0.3">
      <c r="A278" s="4" t="s">
        <v>168</v>
      </c>
      <c r="B278" s="4" t="s">
        <v>77</v>
      </c>
    </row>
    <row r="279" spans="1:2" hidden="1" x14ac:dyDescent="0.3">
      <c r="A279" s="4" t="s">
        <v>434</v>
      </c>
      <c r="B279" s="4" t="s">
        <v>169</v>
      </c>
    </row>
    <row r="280" spans="1:2" hidden="1" x14ac:dyDescent="0.3">
      <c r="A280" s="4" t="s">
        <v>435</v>
      </c>
      <c r="B280" s="4" t="s">
        <v>170</v>
      </c>
    </row>
    <row r="281" spans="1:2" hidden="1" x14ac:dyDescent="0.3">
      <c r="A281" s="4" t="s">
        <v>436</v>
      </c>
      <c r="B281" s="4" t="s">
        <v>171</v>
      </c>
    </row>
    <row r="282" spans="1:2" hidden="1" x14ac:dyDescent="0.3">
      <c r="A282" s="4" t="s">
        <v>172</v>
      </c>
      <c r="B282" s="4" t="s">
        <v>16</v>
      </c>
    </row>
    <row r="283" spans="1:2" hidden="1" x14ac:dyDescent="0.3">
      <c r="A283" s="4" t="s">
        <v>173</v>
      </c>
      <c r="B283" s="4" t="s">
        <v>115</v>
      </c>
    </row>
    <row r="284" spans="1:2" x14ac:dyDescent="0.3">
      <c r="B284" s="4" t="s">
        <v>229</v>
      </c>
    </row>
    <row r="285" spans="1:2" ht="135" hidden="1" x14ac:dyDescent="0.3">
      <c r="A285" s="9" t="s">
        <v>174</v>
      </c>
      <c r="B285" s="9" t="s">
        <v>175</v>
      </c>
    </row>
    <row r="286" spans="1:2" hidden="1" x14ac:dyDescent="0.3">
      <c r="A286" s="7" t="s">
        <v>176</v>
      </c>
      <c r="B286" s="7" t="s">
        <v>87</v>
      </c>
    </row>
    <row r="287" spans="1:2" hidden="1" x14ac:dyDescent="0.3">
      <c r="A287" s="4" t="s">
        <v>437</v>
      </c>
      <c r="B287" s="4" t="s">
        <v>177</v>
      </c>
    </row>
    <row r="288" spans="1:2" hidden="1" x14ac:dyDescent="0.3">
      <c r="A288" s="7" t="s">
        <v>178</v>
      </c>
      <c r="B288" s="7" t="s">
        <v>55</v>
      </c>
    </row>
    <row r="289" spans="1:2" hidden="1" x14ac:dyDescent="0.3">
      <c r="A289" s="7" t="s">
        <v>438</v>
      </c>
      <c r="B289" s="7" t="s">
        <v>34</v>
      </c>
    </row>
    <row r="290" spans="1:2" hidden="1" x14ac:dyDescent="0.3">
      <c r="A290" s="7" t="s">
        <v>179</v>
      </c>
      <c r="B290" s="7" t="s">
        <v>99</v>
      </c>
    </row>
    <row r="291" spans="1:2" hidden="1" x14ac:dyDescent="0.3">
      <c r="A291" s="4" t="s">
        <v>439</v>
      </c>
      <c r="B291" s="4" t="s">
        <v>110</v>
      </c>
    </row>
    <row r="292" spans="1:2" hidden="1" x14ac:dyDescent="0.3">
      <c r="A292" s="4" t="s">
        <v>440</v>
      </c>
      <c r="B292" s="4" t="s">
        <v>105</v>
      </c>
    </row>
    <row r="293" spans="1:2" hidden="1" x14ac:dyDescent="0.3">
      <c r="A293" s="4" t="s">
        <v>441</v>
      </c>
      <c r="B293" s="4" t="s">
        <v>87</v>
      </c>
    </row>
    <row r="294" spans="1:2" hidden="1" x14ac:dyDescent="0.3">
      <c r="A294" s="4" t="s">
        <v>442</v>
      </c>
      <c r="B294" s="4" t="s">
        <v>10</v>
      </c>
    </row>
    <row r="295" spans="1:2" x14ac:dyDescent="0.3">
      <c r="B295" s="4" t="s">
        <v>230</v>
      </c>
    </row>
    <row r="296" spans="1:2" hidden="1" x14ac:dyDescent="0.3">
      <c r="A296" s="7" t="s">
        <v>443</v>
      </c>
      <c r="B296" s="7" t="s">
        <v>136</v>
      </c>
    </row>
    <row r="297" spans="1:2" hidden="1" x14ac:dyDescent="0.3">
      <c r="A297" s="4" t="s">
        <v>444</v>
      </c>
      <c r="B297" s="4" t="s">
        <v>105</v>
      </c>
    </row>
    <row r="298" spans="1:2" hidden="1" x14ac:dyDescent="0.3">
      <c r="A298" s="7" t="s">
        <v>445</v>
      </c>
      <c r="B298" s="7" t="s">
        <v>139</v>
      </c>
    </row>
    <row r="299" spans="1:2" hidden="1" x14ac:dyDescent="0.3">
      <c r="A299" s="4" t="s">
        <v>446</v>
      </c>
      <c r="B299" s="4" t="s">
        <v>119</v>
      </c>
    </row>
    <row r="300" spans="1:2" x14ac:dyDescent="0.3">
      <c r="B300" s="4" t="s">
        <v>231</v>
      </c>
    </row>
    <row r="301" spans="1:2" hidden="1" x14ac:dyDescent="0.3">
      <c r="A301" s="7" t="s">
        <v>447</v>
      </c>
      <c r="B301" s="7" t="s">
        <v>140</v>
      </c>
    </row>
    <row r="302" spans="1:2" hidden="1" x14ac:dyDescent="0.3">
      <c r="A302" s="4" t="s">
        <v>180</v>
      </c>
      <c r="B302" s="4" t="s">
        <v>163</v>
      </c>
    </row>
    <row r="303" spans="1:2" hidden="1" x14ac:dyDescent="0.3">
      <c r="A303" s="7" t="s">
        <v>448</v>
      </c>
      <c r="B303" s="7" t="s">
        <v>155</v>
      </c>
    </row>
    <row r="304" spans="1:2" hidden="1" x14ac:dyDescent="0.3">
      <c r="A304" s="7" t="s">
        <v>449</v>
      </c>
      <c r="B304" s="7" t="s">
        <v>156</v>
      </c>
    </row>
    <row r="305" spans="1:2" hidden="1" x14ac:dyDescent="0.25">
      <c r="A305" s="2" t="s">
        <v>450</v>
      </c>
      <c r="B305" s="2" t="s">
        <v>26</v>
      </c>
    </row>
    <row r="306" spans="1:2" hidden="1" x14ac:dyDescent="0.3">
      <c r="A306" s="4" t="s">
        <v>451</v>
      </c>
      <c r="B306" s="4" t="s">
        <v>141</v>
      </c>
    </row>
    <row r="307" spans="1:2" hidden="1" x14ac:dyDescent="0.3">
      <c r="A307" s="4" t="s">
        <v>452</v>
      </c>
      <c r="B307" s="4" t="s">
        <v>181</v>
      </c>
    </row>
    <row r="308" spans="1:2" hidden="1" x14ac:dyDescent="0.3">
      <c r="A308" s="4" t="s">
        <v>453</v>
      </c>
      <c r="B308" s="4" t="s">
        <v>182</v>
      </c>
    </row>
    <row r="309" spans="1:2" x14ac:dyDescent="0.3">
      <c r="B309" s="4" t="s">
        <v>232</v>
      </c>
    </row>
    <row r="310" spans="1:2" hidden="1" x14ac:dyDescent="0.3">
      <c r="A310" s="4" t="s">
        <v>454</v>
      </c>
      <c r="B310" s="4" t="s">
        <v>26</v>
      </c>
    </row>
    <row r="311" spans="1:2" hidden="1" x14ac:dyDescent="0.3">
      <c r="A311" s="4" t="s">
        <v>455</v>
      </c>
      <c r="B311" s="4" t="s">
        <v>181</v>
      </c>
    </row>
    <row r="312" spans="1:2" x14ac:dyDescent="0.3">
      <c r="B312" s="4" t="s">
        <v>233</v>
      </c>
    </row>
    <row r="313" spans="1:2" hidden="1" x14ac:dyDescent="0.3">
      <c r="A313" s="4" t="s">
        <v>456</v>
      </c>
      <c r="B313" s="4" t="s">
        <v>183</v>
      </c>
    </row>
    <row r="314" spans="1:2" hidden="1" x14ac:dyDescent="0.3">
      <c r="A314" s="4" t="s">
        <v>457</v>
      </c>
      <c r="B314" s="4" t="s">
        <v>184</v>
      </c>
    </row>
    <row r="315" spans="1:2" hidden="1" x14ac:dyDescent="0.3">
      <c r="A315" s="4" t="s">
        <v>458</v>
      </c>
      <c r="B315" s="4" t="s">
        <v>185</v>
      </c>
    </row>
    <row r="316" spans="1:2" x14ac:dyDescent="0.3">
      <c r="B316" s="4" t="s">
        <v>234</v>
      </c>
    </row>
    <row r="317" spans="1:2" x14ac:dyDescent="0.3">
      <c r="B317" s="4" t="s">
        <v>235</v>
      </c>
    </row>
    <row r="318" spans="1:2" hidden="1" x14ac:dyDescent="0.3">
      <c r="A318" s="4" t="s">
        <v>459</v>
      </c>
      <c r="B318" s="4" t="s">
        <v>103</v>
      </c>
    </row>
    <row r="319" spans="1:2" x14ac:dyDescent="0.3">
      <c r="B319" s="4" t="s">
        <v>236</v>
      </c>
    </row>
    <row r="320" spans="1:2" hidden="1" x14ac:dyDescent="0.3">
      <c r="A320" s="4" t="s">
        <v>186</v>
      </c>
      <c r="B320" s="4" t="s">
        <v>139</v>
      </c>
    </row>
    <row r="321" spans="1:2" hidden="1" x14ac:dyDescent="0.3">
      <c r="A321" s="4" t="s">
        <v>187</v>
      </c>
      <c r="B321" s="4" t="s">
        <v>14</v>
      </c>
    </row>
    <row r="322" spans="1:2" hidden="1" x14ac:dyDescent="0.3">
      <c r="A322" s="4" t="s">
        <v>188</v>
      </c>
      <c r="B322" s="4" t="s">
        <v>58</v>
      </c>
    </row>
    <row r="323" spans="1:2" hidden="1" x14ac:dyDescent="0.3">
      <c r="A323" s="4" t="s">
        <v>460</v>
      </c>
      <c r="B323" s="4" t="s">
        <v>105</v>
      </c>
    </row>
    <row r="324" spans="1:2" x14ac:dyDescent="0.3">
      <c r="A324"/>
      <c r="B324"/>
    </row>
    <row r="325" spans="1:2" x14ac:dyDescent="0.3">
      <c r="A325"/>
      <c r="B325"/>
    </row>
    <row r="326" spans="1:2" x14ac:dyDescent="0.3">
      <c r="A326"/>
      <c r="B326"/>
    </row>
    <row r="327" spans="1:2" x14ac:dyDescent="0.3">
      <c r="A327"/>
      <c r="B327"/>
    </row>
    <row r="328" spans="1:2" x14ac:dyDescent="0.3">
      <c r="A328"/>
      <c r="B328"/>
    </row>
    <row r="329" spans="1:2" x14ac:dyDescent="0.3">
      <c r="A329"/>
      <c r="B329"/>
    </row>
    <row r="330" spans="1:2" x14ac:dyDescent="0.3">
      <c r="A330"/>
      <c r="B330"/>
    </row>
    <row r="331" spans="1:2" x14ac:dyDescent="0.3">
      <c r="A331"/>
      <c r="B331"/>
    </row>
    <row r="332" spans="1:2" x14ac:dyDescent="0.3">
      <c r="A332"/>
      <c r="B332"/>
    </row>
    <row r="333" spans="1:2" x14ac:dyDescent="0.3">
      <c r="A333"/>
      <c r="B333"/>
    </row>
    <row r="334" spans="1:2" x14ac:dyDescent="0.3">
      <c r="A334"/>
      <c r="B334"/>
    </row>
    <row r="335" spans="1:2" x14ac:dyDescent="0.3">
      <c r="A335"/>
      <c r="B335"/>
    </row>
    <row r="336" spans="1:2" x14ac:dyDescent="0.3">
      <c r="A336"/>
      <c r="B336"/>
    </row>
    <row r="337" spans="1:2" x14ac:dyDescent="0.3">
      <c r="A337"/>
      <c r="B337"/>
    </row>
    <row r="338" spans="1:2" x14ac:dyDescent="0.3">
      <c r="A338"/>
      <c r="B338"/>
    </row>
    <row r="339" spans="1:2" x14ac:dyDescent="0.3">
      <c r="A339"/>
      <c r="B339"/>
    </row>
    <row r="340" spans="1:2" x14ac:dyDescent="0.3">
      <c r="A340"/>
      <c r="B340"/>
    </row>
    <row r="341" spans="1:2" x14ac:dyDescent="0.3">
      <c r="A341"/>
      <c r="B341"/>
    </row>
    <row r="342" spans="1:2" x14ac:dyDescent="0.3">
      <c r="A342"/>
      <c r="B342"/>
    </row>
    <row r="343" spans="1:2" x14ac:dyDescent="0.3">
      <c r="A343"/>
      <c r="B343"/>
    </row>
    <row r="344" spans="1:2" x14ac:dyDescent="0.3">
      <c r="A344"/>
      <c r="B344"/>
    </row>
    <row r="345" spans="1:2" x14ac:dyDescent="0.3">
      <c r="A345"/>
      <c r="B345"/>
    </row>
    <row r="346" spans="1:2" x14ac:dyDescent="0.3">
      <c r="A346"/>
      <c r="B346"/>
    </row>
    <row r="347" spans="1:2" x14ac:dyDescent="0.3">
      <c r="A347"/>
      <c r="B347"/>
    </row>
    <row r="348" spans="1:2" x14ac:dyDescent="0.3">
      <c r="A348"/>
      <c r="B348"/>
    </row>
    <row r="349" spans="1:2" x14ac:dyDescent="0.3">
      <c r="A349"/>
      <c r="B349"/>
    </row>
    <row r="350" spans="1:2" x14ac:dyDescent="0.3">
      <c r="A350"/>
      <c r="B350"/>
    </row>
    <row r="351" spans="1:2" x14ac:dyDescent="0.3">
      <c r="A351"/>
      <c r="B351"/>
    </row>
    <row r="352" spans="1:2" x14ac:dyDescent="0.3">
      <c r="A352"/>
      <c r="B352"/>
    </row>
    <row r="353" spans="1:2" x14ac:dyDescent="0.3">
      <c r="A353"/>
      <c r="B353"/>
    </row>
    <row r="354" spans="1:2" x14ac:dyDescent="0.3">
      <c r="A354"/>
      <c r="B354"/>
    </row>
    <row r="355" spans="1:2" x14ac:dyDescent="0.3">
      <c r="A355"/>
      <c r="B355"/>
    </row>
    <row r="356" spans="1:2" x14ac:dyDescent="0.3">
      <c r="A356"/>
      <c r="B356"/>
    </row>
    <row r="357" spans="1:2" x14ac:dyDescent="0.3">
      <c r="A357"/>
      <c r="B357"/>
    </row>
    <row r="358" spans="1:2" x14ac:dyDescent="0.3">
      <c r="A358"/>
      <c r="B358"/>
    </row>
    <row r="359" spans="1:2" x14ac:dyDescent="0.3">
      <c r="A359"/>
      <c r="B359"/>
    </row>
    <row r="360" spans="1:2" x14ac:dyDescent="0.3">
      <c r="A360"/>
      <c r="B360"/>
    </row>
    <row r="361" spans="1:2" x14ac:dyDescent="0.3">
      <c r="A361"/>
      <c r="B361"/>
    </row>
    <row r="362" spans="1:2" x14ac:dyDescent="0.3">
      <c r="A362"/>
      <c r="B362"/>
    </row>
    <row r="363" spans="1:2" x14ac:dyDescent="0.3">
      <c r="A363"/>
      <c r="B363"/>
    </row>
    <row r="364" spans="1:2" x14ac:dyDescent="0.3">
      <c r="A364"/>
      <c r="B364"/>
    </row>
    <row r="365" spans="1:2" x14ac:dyDescent="0.3">
      <c r="A365"/>
      <c r="B365"/>
    </row>
    <row r="366" spans="1:2" x14ac:dyDescent="0.3">
      <c r="A366"/>
      <c r="B366"/>
    </row>
    <row r="367" spans="1:2" x14ac:dyDescent="0.3">
      <c r="A367"/>
      <c r="B367"/>
    </row>
    <row r="368" spans="1:2" x14ac:dyDescent="0.3">
      <c r="A368"/>
      <c r="B368"/>
    </row>
    <row r="369" spans="1:2" x14ac:dyDescent="0.3">
      <c r="A369"/>
      <c r="B369"/>
    </row>
    <row r="370" spans="1:2" x14ac:dyDescent="0.3">
      <c r="A370"/>
      <c r="B370"/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/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  <row r="950" spans="1:2" x14ac:dyDescent="0.3">
      <c r="A950"/>
      <c r="B950"/>
    </row>
    <row r="951" spans="1:2" x14ac:dyDescent="0.3">
      <c r="A951"/>
      <c r="B951"/>
    </row>
    <row r="952" spans="1:2" x14ac:dyDescent="0.3">
      <c r="A952"/>
      <c r="B952"/>
    </row>
    <row r="953" spans="1:2" x14ac:dyDescent="0.3">
      <c r="A953"/>
      <c r="B953"/>
    </row>
    <row r="954" spans="1:2" x14ac:dyDescent="0.3">
      <c r="A954"/>
      <c r="B954"/>
    </row>
    <row r="955" spans="1:2" x14ac:dyDescent="0.3">
      <c r="A955"/>
      <c r="B955"/>
    </row>
    <row r="956" spans="1:2" x14ac:dyDescent="0.3">
      <c r="A956"/>
      <c r="B956"/>
    </row>
    <row r="957" spans="1:2" x14ac:dyDescent="0.3">
      <c r="A957"/>
      <c r="B957"/>
    </row>
    <row r="958" spans="1:2" x14ac:dyDescent="0.3">
      <c r="A958"/>
      <c r="B958"/>
    </row>
    <row r="959" spans="1:2" x14ac:dyDescent="0.3">
      <c r="A959"/>
      <c r="B959"/>
    </row>
    <row r="960" spans="1:2" x14ac:dyDescent="0.3">
      <c r="A960"/>
      <c r="B960"/>
    </row>
    <row r="961" spans="1:2" x14ac:dyDescent="0.3">
      <c r="A961"/>
      <c r="B961"/>
    </row>
    <row r="962" spans="1:2" x14ac:dyDescent="0.3">
      <c r="A962"/>
      <c r="B962"/>
    </row>
    <row r="963" spans="1:2" x14ac:dyDescent="0.3">
      <c r="A963"/>
      <c r="B963"/>
    </row>
    <row r="964" spans="1:2" x14ac:dyDescent="0.3">
      <c r="A964"/>
      <c r="B964"/>
    </row>
    <row r="965" spans="1:2" x14ac:dyDescent="0.3">
      <c r="A965"/>
      <c r="B965"/>
    </row>
    <row r="966" spans="1:2" x14ac:dyDescent="0.3">
      <c r="A966"/>
      <c r="B966"/>
    </row>
    <row r="967" spans="1:2" x14ac:dyDescent="0.3">
      <c r="A967"/>
      <c r="B967"/>
    </row>
    <row r="968" spans="1:2" x14ac:dyDescent="0.3">
      <c r="A968"/>
      <c r="B968"/>
    </row>
    <row r="969" spans="1:2" x14ac:dyDescent="0.3">
      <c r="A969"/>
      <c r="B969"/>
    </row>
    <row r="970" spans="1:2" x14ac:dyDescent="0.3">
      <c r="A970"/>
      <c r="B970"/>
    </row>
    <row r="971" spans="1:2" x14ac:dyDescent="0.3">
      <c r="A971"/>
      <c r="B971"/>
    </row>
    <row r="972" spans="1:2" x14ac:dyDescent="0.3">
      <c r="A972"/>
      <c r="B972"/>
    </row>
    <row r="973" spans="1:2" x14ac:dyDescent="0.3">
      <c r="A973"/>
      <c r="B973"/>
    </row>
    <row r="974" spans="1:2" x14ac:dyDescent="0.3">
      <c r="A974"/>
      <c r="B974"/>
    </row>
    <row r="975" spans="1:2" x14ac:dyDescent="0.3">
      <c r="A975"/>
      <c r="B975"/>
    </row>
    <row r="976" spans="1:2" x14ac:dyDescent="0.3">
      <c r="A976"/>
      <c r="B976"/>
    </row>
    <row r="977" spans="1:2" x14ac:dyDescent="0.3">
      <c r="A977"/>
      <c r="B977"/>
    </row>
    <row r="978" spans="1:2" x14ac:dyDescent="0.3">
      <c r="A978"/>
      <c r="B978"/>
    </row>
    <row r="979" spans="1:2" x14ac:dyDescent="0.3">
      <c r="A979"/>
      <c r="B979"/>
    </row>
    <row r="980" spans="1:2" x14ac:dyDescent="0.3">
      <c r="A980"/>
      <c r="B980"/>
    </row>
    <row r="981" spans="1:2" x14ac:dyDescent="0.3">
      <c r="A981"/>
      <c r="B981"/>
    </row>
    <row r="982" spans="1:2" x14ac:dyDescent="0.3">
      <c r="A982"/>
      <c r="B982"/>
    </row>
    <row r="983" spans="1:2" x14ac:dyDescent="0.3">
      <c r="A983"/>
      <c r="B983"/>
    </row>
    <row r="984" spans="1:2" x14ac:dyDescent="0.3">
      <c r="A984"/>
      <c r="B984"/>
    </row>
    <row r="985" spans="1:2" x14ac:dyDescent="0.3">
      <c r="A985"/>
      <c r="B985"/>
    </row>
    <row r="986" spans="1:2" x14ac:dyDescent="0.3">
      <c r="A986"/>
      <c r="B986"/>
    </row>
    <row r="987" spans="1:2" x14ac:dyDescent="0.3">
      <c r="A987"/>
      <c r="B987"/>
    </row>
    <row r="988" spans="1:2" x14ac:dyDescent="0.3">
      <c r="A988"/>
      <c r="B988"/>
    </row>
    <row r="989" spans="1:2" x14ac:dyDescent="0.3">
      <c r="A989"/>
      <c r="B989"/>
    </row>
    <row r="990" spans="1:2" x14ac:dyDescent="0.3">
      <c r="A990"/>
      <c r="B990"/>
    </row>
    <row r="991" spans="1:2" x14ac:dyDescent="0.3">
      <c r="A991"/>
      <c r="B991"/>
    </row>
    <row r="992" spans="1:2" x14ac:dyDescent="0.3">
      <c r="A992"/>
      <c r="B992"/>
    </row>
    <row r="993" spans="1:2" x14ac:dyDescent="0.3">
      <c r="A993"/>
      <c r="B993"/>
    </row>
    <row r="994" spans="1:2" x14ac:dyDescent="0.3">
      <c r="A994"/>
      <c r="B994"/>
    </row>
    <row r="995" spans="1:2" x14ac:dyDescent="0.3">
      <c r="A995"/>
      <c r="B995"/>
    </row>
    <row r="996" spans="1:2" x14ac:dyDescent="0.3">
      <c r="A996"/>
      <c r="B996"/>
    </row>
    <row r="997" spans="1:2" x14ac:dyDescent="0.3">
      <c r="A997"/>
      <c r="B997"/>
    </row>
    <row r="998" spans="1:2" x14ac:dyDescent="0.3">
      <c r="A998"/>
      <c r="B998"/>
    </row>
    <row r="999" spans="1:2" x14ac:dyDescent="0.3">
      <c r="A999"/>
      <c r="B999"/>
    </row>
    <row r="1000" spans="1:2" x14ac:dyDescent="0.3">
      <c r="A1000"/>
      <c r="B1000"/>
    </row>
    <row r="1001" spans="1:2" x14ac:dyDescent="0.3">
      <c r="A1001"/>
      <c r="B1001"/>
    </row>
    <row r="1002" spans="1:2" x14ac:dyDescent="0.3">
      <c r="A1002"/>
      <c r="B1002"/>
    </row>
    <row r="1003" spans="1:2" x14ac:dyDescent="0.3">
      <c r="A1003"/>
      <c r="B1003"/>
    </row>
    <row r="1004" spans="1:2" x14ac:dyDescent="0.3">
      <c r="A1004"/>
      <c r="B1004"/>
    </row>
    <row r="1005" spans="1:2" x14ac:dyDescent="0.3">
      <c r="A1005"/>
      <c r="B1005"/>
    </row>
    <row r="1006" spans="1:2" x14ac:dyDescent="0.3">
      <c r="A1006"/>
      <c r="B1006"/>
    </row>
    <row r="1007" spans="1:2" x14ac:dyDescent="0.3">
      <c r="A1007"/>
      <c r="B1007"/>
    </row>
    <row r="1008" spans="1:2" x14ac:dyDescent="0.3">
      <c r="A1008"/>
      <c r="B1008"/>
    </row>
    <row r="1009" spans="1:2" x14ac:dyDescent="0.3">
      <c r="A1009"/>
      <c r="B1009"/>
    </row>
    <row r="1010" spans="1:2" x14ac:dyDescent="0.3">
      <c r="A1010"/>
      <c r="B1010"/>
    </row>
    <row r="1011" spans="1:2" x14ac:dyDescent="0.3">
      <c r="A1011"/>
      <c r="B1011"/>
    </row>
    <row r="1012" spans="1:2" x14ac:dyDescent="0.3">
      <c r="A1012"/>
      <c r="B1012"/>
    </row>
    <row r="1013" spans="1:2" x14ac:dyDescent="0.3">
      <c r="A1013"/>
      <c r="B1013"/>
    </row>
    <row r="1014" spans="1:2" x14ac:dyDescent="0.3">
      <c r="A1014"/>
      <c r="B1014"/>
    </row>
    <row r="1015" spans="1:2" x14ac:dyDescent="0.3">
      <c r="A1015"/>
      <c r="B1015"/>
    </row>
    <row r="1016" spans="1:2" x14ac:dyDescent="0.3">
      <c r="A1016"/>
      <c r="B1016"/>
    </row>
    <row r="1017" spans="1:2" x14ac:dyDescent="0.3">
      <c r="A1017"/>
      <c r="B1017"/>
    </row>
    <row r="1018" spans="1:2" x14ac:dyDescent="0.3">
      <c r="A1018"/>
      <c r="B1018"/>
    </row>
    <row r="1019" spans="1:2" x14ac:dyDescent="0.3">
      <c r="A1019"/>
      <c r="B1019"/>
    </row>
    <row r="1020" spans="1:2" x14ac:dyDescent="0.3">
      <c r="A1020"/>
      <c r="B1020"/>
    </row>
    <row r="1021" spans="1:2" x14ac:dyDescent="0.3">
      <c r="A1021"/>
      <c r="B1021"/>
    </row>
    <row r="1022" spans="1:2" x14ac:dyDescent="0.3">
      <c r="A1022"/>
      <c r="B1022"/>
    </row>
    <row r="1023" spans="1:2" x14ac:dyDescent="0.3">
      <c r="A1023"/>
      <c r="B1023"/>
    </row>
    <row r="1024" spans="1:2" x14ac:dyDescent="0.3">
      <c r="A1024"/>
      <c r="B1024"/>
    </row>
    <row r="1025" spans="1:2" x14ac:dyDescent="0.3">
      <c r="A1025"/>
      <c r="B1025"/>
    </row>
    <row r="1026" spans="1:2" x14ac:dyDescent="0.3">
      <c r="A1026"/>
      <c r="B1026"/>
    </row>
    <row r="1027" spans="1:2" x14ac:dyDescent="0.3">
      <c r="A1027"/>
      <c r="B1027"/>
    </row>
    <row r="1028" spans="1:2" x14ac:dyDescent="0.3">
      <c r="A1028"/>
      <c r="B1028"/>
    </row>
    <row r="1029" spans="1:2" x14ac:dyDescent="0.3">
      <c r="A1029"/>
      <c r="B1029"/>
    </row>
    <row r="1030" spans="1:2" x14ac:dyDescent="0.3">
      <c r="A1030"/>
      <c r="B1030"/>
    </row>
    <row r="1031" spans="1:2" x14ac:dyDescent="0.3">
      <c r="A1031"/>
      <c r="B1031"/>
    </row>
    <row r="1032" spans="1:2" x14ac:dyDescent="0.3">
      <c r="A1032"/>
      <c r="B1032"/>
    </row>
    <row r="1033" spans="1:2" x14ac:dyDescent="0.3">
      <c r="A1033"/>
      <c r="B1033"/>
    </row>
    <row r="1034" spans="1:2" x14ac:dyDescent="0.3">
      <c r="A1034"/>
      <c r="B1034"/>
    </row>
    <row r="1035" spans="1:2" x14ac:dyDescent="0.3">
      <c r="A1035"/>
      <c r="B1035"/>
    </row>
    <row r="1036" spans="1:2" x14ac:dyDescent="0.3">
      <c r="A1036"/>
      <c r="B1036"/>
    </row>
    <row r="1037" spans="1:2" x14ac:dyDescent="0.3">
      <c r="A1037"/>
      <c r="B1037"/>
    </row>
    <row r="1038" spans="1:2" x14ac:dyDescent="0.3">
      <c r="A1038"/>
      <c r="B1038"/>
    </row>
    <row r="1039" spans="1:2" x14ac:dyDescent="0.3">
      <c r="A1039"/>
      <c r="B1039"/>
    </row>
    <row r="1040" spans="1:2" x14ac:dyDescent="0.3">
      <c r="A1040"/>
      <c r="B1040"/>
    </row>
    <row r="1041" spans="1:2" x14ac:dyDescent="0.3">
      <c r="A1041"/>
      <c r="B1041"/>
    </row>
    <row r="1042" spans="1:2" x14ac:dyDescent="0.3">
      <c r="A1042"/>
      <c r="B1042"/>
    </row>
    <row r="1043" spans="1:2" x14ac:dyDescent="0.3">
      <c r="A1043"/>
      <c r="B1043"/>
    </row>
    <row r="1044" spans="1:2" x14ac:dyDescent="0.3">
      <c r="A1044"/>
      <c r="B1044"/>
    </row>
    <row r="1045" spans="1:2" x14ac:dyDescent="0.3">
      <c r="A1045"/>
      <c r="B1045"/>
    </row>
    <row r="1046" spans="1:2" x14ac:dyDescent="0.3">
      <c r="A1046"/>
      <c r="B1046"/>
    </row>
    <row r="1047" spans="1:2" x14ac:dyDescent="0.3">
      <c r="A1047"/>
      <c r="B1047"/>
    </row>
    <row r="1048" spans="1:2" x14ac:dyDescent="0.3">
      <c r="A1048"/>
      <c r="B1048"/>
    </row>
    <row r="1049" spans="1:2" x14ac:dyDescent="0.3">
      <c r="A1049"/>
      <c r="B1049"/>
    </row>
    <row r="1050" spans="1:2" x14ac:dyDescent="0.3">
      <c r="A1050"/>
      <c r="B1050"/>
    </row>
    <row r="1051" spans="1:2" x14ac:dyDescent="0.3">
      <c r="A1051"/>
      <c r="B1051"/>
    </row>
    <row r="1052" spans="1:2" x14ac:dyDescent="0.3">
      <c r="A1052"/>
      <c r="B1052"/>
    </row>
    <row r="1053" spans="1:2" x14ac:dyDescent="0.3">
      <c r="A1053"/>
      <c r="B1053"/>
    </row>
    <row r="1054" spans="1:2" x14ac:dyDescent="0.3">
      <c r="A1054"/>
      <c r="B1054"/>
    </row>
    <row r="1055" spans="1:2" x14ac:dyDescent="0.3">
      <c r="A1055"/>
      <c r="B1055"/>
    </row>
    <row r="1056" spans="1:2" x14ac:dyDescent="0.3">
      <c r="A1056"/>
      <c r="B1056"/>
    </row>
    <row r="1057" spans="1:2" x14ac:dyDescent="0.3">
      <c r="A1057"/>
      <c r="B1057"/>
    </row>
    <row r="1058" spans="1:2" x14ac:dyDescent="0.3">
      <c r="A1058"/>
      <c r="B1058"/>
    </row>
    <row r="1059" spans="1:2" x14ac:dyDescent="0.3">
      <c r="A1059"/>
      <c r="B1059"/>
    </row>
    <row r="1060" spans="1:2" x14ac:dyDescent="0.3">
      <c r="A1060"/>
      <c r="B1060"/>
    </row>
    <row r="1061" spans="1:2" x14ac:dyDescent="0.3">
      <c r="A1061"/>
      <c r="B1061"/>
    </row>
    <row r="1062" spans="1:2" x14ac:dyDescent="0.3">
      <c r="A1062"/>
      <c r="B1062"/>
    </row>
    <row r="1063" spans="1:2" x14ac:dyDescent="0.3">
      <c r="A1063"/>
      <c r="B1063"/>
    </row>
    <row r="1064" spans="1:2" x14ac:dyDescent="0.3">
      <c r="A1064"/>
      <c r="B1064"/>
    </row>
    <row r="1065" spans="1:2" x14ac:dyDescent="0.3">
      <c r="A1065"/>
      <c r="B1065"/>
    </row>
    <row r="1066" spans="1:2" x14ac:dyDescent="0.3">
      <c r="A1066"/>
      <c r="B1066"/>
    </row>
    <row r="1067" spans="1:2" x14ac:dyDescent="0.3">
      <c r="A1067"/>
      <c r="B1067"/>
    </row>
    <row r="1068" spans="1:2" x14ac:dyDescent="0.3">
      <c r="A1068"/>
      <c r="B1068"/>
    </row>
    <row r="1069" spans="1:2" x14ac:dyDescent="0.3">
      <c r="A1069"/>
      <c r="B1069"/>
    </row>
    <row r="1070" spans="1:2" x14ac:dyDescent="0.3">
      <c r="A1070"/>
      <c r="B1070"/>
    </row>
    <row r="1071" spans="1:2" x14ac:dyDescent="0.3">
      <c r="A1071"/>
      <c r="B1071"/>
    </row>
    <row r="1072" spans="1:2" x14ac:dyDescent="0.3">
      <c r="A1072"/>
      <c r="B1072"/>
    </row>
    <row r="1073" spans="1:2" x14ac:dyDescent="0.3">
      <c r="A1073"/>
      <c r="B1073"/>
    </row>
    <row r="1074" spans="1:2" x14ac:dyDescent="0.3">
      <c r="A1074"/>
      <c r="B1074"/>
    </row>
    <row r="1075" spans="1:2" x14ac:dyDescent="0.3">
      <c r="A1075"/>
      <c r="B1075"/>
    </row>
    <row r="1076" spans="1:2" x14ac:dyDescent="0.3">
      <c r="A1076"/>
      <c r="B1076"/>
    </row>
    <row r="1077" spans="1:2" x14ac:dyDescent="0.3">
      <c r="A1077"/>
      <c r="B1077"/>
    </row>
    <row r="1078" spans="1:2" x14ac:dyDescent="0.3">
      <c r="A1078"/>
      <c r="B1078"/>
    </row>
    <row r="1079" spans="1:2" x14ac:dyDescent="0.3">
      <c r="A1079"/>
      <c r="B1079"/>
    </row>
    <row r="1080" spans="1:2" x14ac:dyDescent="0.3">
      <c r="A1080"/>
      <c r="B1080"/>
    </row>
    <row r="1081" spans="1:2" x14ac:dyDescent="0.3">
      <c r="A1081"/>
      <c r="B1081"/>
    </row>
    <row r="1082" spans="1:2" x14ac:dyDescent="0.3">
      <c r="A1082"/>
      <c r="B1082"/>
    </row>
    <row r="1083" spans="1:2" x14ac:dyDescent="0.3">
      <c r="A1083"/>
      <c r="B1083"/>
    </row>
    <row r="1084" spans="1:2" x14ac:dyDescent="0.3">
      <c r="A1084"/>
      <c r="B1084"/>
    </row>
    <row r="1085" spans="1:2" x14ac:dyDescent="0.3">
      <c r="A1085"/>
      <c r="B1085"/>
    </row>
    <row r="1086" spans="1:2" x14ac:dyDescent="0.3">
      <c r="A1086"/>
      <c r="B1086"/>
    </row>
    <row r="1087" spans="1:2" x14ac:dyDescent="0.3">
      <c r="A1087"/>
      <c r="B1087"/>
    </row>
    <row r="1088" spans="1:2" x14ac:dyDescent="0.3">
      <c r="A1088"/>
      <c r="B1088"/>
    </row>
    <row r="1089" spans="1:2" x14ac:dyDescent="0.3">
      <c r="A1089"/>
      <c r="B1089"/>
    </row>
    <row r="1090" spans="1:2" x14ac:dyDescent="0.3">
      <c r="A1090"/>
      <c r="B1090"/>
    </row>
    <row r="1091" spans="1:2" x14ac:dyDescent="0.3">
      <c r="A1091"/>
      <c r="B1091"/>
    </row>
    <row r="1092" spans="1:2" x14ac:dyDescent="0.3">
      <c r="A1092"/>
      <c r="B1092"/>
    </row>
    <row r="1093" spans="1:2" x14ac:dyDescent="0.3">
      <c r="A1093"/>
      <c r="B1093"/>
    </row>
    <row r="1094" spans="1:2" x14ac:dyDescent="0.3">
      <c r="A1094"/>
      <c r="B1094"/>
    </row>
    <row r="1095" spans="1:2" x14ac:dyDescent="0.3">
      <c r="A1095"/>
      <c r="B1095"/>
    </row>
    <row r="1096" spans="1:2" x14ac:dyDescent="0.3">
      <c r="A1096"/>
      <c r="B1096"/>
    </row>
    <row r="1097" spans="1:2" x14ac:dyDescent="0.3">
      <c r="A1097"/>
      <c r="B1097"/>
    </row>
    <row r="1098" spans="1:2" x14ac:dyDescent="0.3">
      <c r="A1098"/>
      <c r="B1098"/>
    </row>
    <row r="1099" spans="1:2" x14ac:dyDescent="0.3">
      <c r="A1099"/>
      <c r="B1099"/>
    </row>
    <row r="1100" spans="1:2" x14ac:dyDescent="0.3">
      <c r="A1100"/>
      <c r="B1100"/>
    </row>
    <row r="1101" spans="1:2" x14ac:dyDescent="0.3">
      <c r="A1101"/>
      <c r="B1101"/>
    </row>
    <row r="1102" spans="1:2" x14ac:dyDescent="0.3">
      <c r="A1102"/>
      <c r="B1102"/>
    </row>
    <row r="1103" spans="1:2" x14ac:dyDescent="0.3">
      <c r="A1103"/>
      <c r="B1103"/>
    </row>
    <row r="1104" spans="1:2" x14ac:dyDescent="0.3">
      <c r="A1104"/>
      <c r="B1104"/>
    </row>
    <row r="1105" spans="1:2" x14ac:dyDescent="0.3">
      <c r="A1105"/>
      <c r="B1105"/>
    </row>
    <row r="1106" spans="1:2" x14ac:dyDescent="0.3">
      <c r="A1106"/>
      <c r="B1106"/>
    </row>
    <row r="1107" spans="1:2" x14ac:dyDescent="0.3">
      <c r="A1107"/>
      <c r="B1107"/>
    </row>
    <row r="1108" spans="1:2" x14ac:dyDescent="0.3">
      <c r="A1108"/>
      <c r="B1108"/>
    </row>
    <row r="1109" spans="1:2" x14ac:dyDescent="0.3">
      <c r="A1109"/>
      <c r="B1109"/>
    </row>
    <row r="1110" spans="1:2" x14ac:dyDescent="0.3">
      <c r="A1110"/>
      <c r="B1110"/>
    </row>
    <row r="1111" spans="1:2" x14ac:dyDescent="0.3">
      <c r="A1111"/>
      <c r="B1111"/>
    </row>
    <row r="1112" spans="1:2" x14ac:dyDescent="0.3">
      <c r="A1112"/>
      <c r="B1112"/>
    </row>
    <row r="1113" spans="1:2" x14ac:dyDescent="0.3">
      <c r="A1113"/>
      <c r="B1113"/>
    </row>
    <row r="1114" spans="1:2" x14ac:dyDescent="0.3">
      <c r="A1114"/>
      <c r="B1114"/>
    </row>
    <row r="1115" spans="1:2" x14ac:dyDescent="0.3">
      <c r="A1115"/>
      <c r="B1115"/>
    </row>
    <row r="1116" spans="1:2" x14ac:dyDescent="0.3">
      <c r="A1116"/>
      <c r="B1116"/>
    </row>
    <row r="1117" spans="1:2" x14ac:dyDescent="0.3">
      <c r="A1117"/>
      <c r="B1117"/>
    </row>
  </sheetData>
  <autoFilter ref="A1:B1117">
    <filterColumn colId="0">
      <filters blank="1"/>
    </filterColumn>
  </autoFilter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43"/>
  <sheetViews>
    <sheetView tabSelected="1" workbookViewId="0">
      <selection activeCell="B12" sqref="B12"/>
    </sheetView>
  </sheetViews>
  <sheetFormatPr defaultRowHeight="16.5" x14ac:dyDescent="0.3"/>
  <cols>
    <col min="1" max="1" width="2.625" style="11" customWidth="1"/>
    <col min="2" max="2" width="10" style="11" customWidth="1"/>
    <col min="3" max="3" width="10.25" style="11" bestFit="1" customWidth="1"/>
    <col min="4" max="4" width="6.5" style="11" customWidth="1"/>
    <col min="5" max="5" width="5" style="11" customWidth="1"/>
    <col min="6" max="6" width="9.625" style="11" bestFit="1" customWidth="1"/>
    <col min="7" max="7" width="8.375" style="11" bestFit="1" customWidth="1"/>
    <col min="8" max="8" width="9.625" style="11" bestFit="1" customWidth="1"/>
    <col min="9" max="16384" width="9" style="11"/>
  </cols>
  <sheetData>
    <row r="1" spans="2:8" ht="26.25" x14ac:dyDescent="0.3">
      <c r="B1" s="10" t="s">
        <v>461</v>
      </c>
      <c r="C1" s="10"/>
      <c r="D1" s="10"/>
      <c r="E1" s="10"/>
      <c r="F1" s="10"/>
      <c r="G1" s="10"/>
      <c r="H1" s="10"/>
    </row>
    <row r="2" spans="2:8" ht="17.25" thickBot="1" x14ac:dyDescent="0.35">
      <c r="B2" s="12"/>
      <c r="C2" s="13"/>
      <c r="D2" s="14"/>
      <c r="E2" s="14"/>
      <c r="F2" s="15"/>
      <c r="G2" s="15"/>
      <c r="H2" s="15"/>
    </row>
    <row r="3" spans="2:8" ht="17.25" thickBot="1" x14ac:dyDescent="0.35">
      <c r="B3" s="16" t="s">
        <v>462</v>
      </c>
      <c r="C3" s="17" t="s">
        <v>463</v>
      </c>
      <c r="D3" s="18" t="s">
        <v>464</v>
      </c>
      <c r="E3" s="18" t="s">
        <v>465</v>
      </c>
      <c r="F3" s="19" t="s">
        <v>466</v>
      </c>
      <c r="G3" s="19" t="s">
        <v>467</v>
      </c>
      <c r="H3" s="19" t="s">
        <v>468</v>
      </c>
    </row>
    <row r="4" spans="2:8" ht="17.25" thickTop="1" x14ac:dyDescent="0.3">
      <c r="B4" s="47" t="s">
        <v>469</v>
      </c>
      <c r="C4" s="48"/>
      <c r="D4" s="48"/>
      <c r="E4" s="49"/>
      <c r="F4" s="20">
        <v>1248124</v>
      </c>
      <c r="G4" s="21">
        <v>0</v>
      </c>
      <c r="H4" s="20">
        <v>2409372</v>
      </c>
    </row>
    <row r="5" spans="2:8" ht="17.25" customHeight="1" x14ac:dyDescent="0.3">
      <c r="B5" s="22">
        <v>45384</v>
      </c>
      <c r="C5" s="23" t="s">
        <v>470</v>
      </c>
      <c r="D5" s="23"/>
      <c r="E5" s="23"/>
      <c r="F5" s="24"/>
      <c r="G5" s="24">
        <v>7500</v>
      </c>
      <c r="H5" s="24">
        <f>H4+F5-G5</f>
        <v>2401872</v>
      </c>
    </row>
    <row r="6" spans="2:8" ht="17.25" customHeight="1" x14ac:dyDescent="0.3">
      <c r="B6" s="38">
        <v>45384</v>
      </c>
      <c r="C6" s="25" t="s">
        <v>470</v>
      </c>
      <c r="D6" s="25"/>
      <c r="E6" s="25"/>
      <c r="F6" s="26"/>
      <c r="G6" s="26">
        <v>3840</v>
      </c>
      <c r="H6" s="26">
        <f t="shared" ref="H6:H8" si="0">H5+F6-G6</f>
        <v>2398032</v>
      </c>
    </row>
    <row r="7" spans="2:8" ht="17.25" customHeight="1" x14ac:dyDescent="0.3">
      <c r="B7" s="38">
        <v>45384</v>
      </c>
      <c r="C7" s="25" t="s">
        <v>470</v>
      </c>
      <c r="D7" s="25"/>
      <c r="E7" s="25"/>
      <c r="F7" s="26"/>
      <c r="G7" s="26">
        <v>11900</v>
      </c>
      <c r="H7" s="26">
        <f t="shared" si="0"/>
        <v>2386132</v>
      </c>
    </row>
    <row r="8" spans="2:8" ht="17.25" customHeight="1" x14ac:dyDescent="0.3">
      <c r="B8" s="38">
        <v>45384</v>
      </c>
      <c r="C8" s="25" t="s">
        <v>471</v>
      </c>
      <c r="D8" s="25"/>
      <c r="E8" s="25"/>
      <c r="F8" s="26"/>
      <c r="G8" s="26">
        <v>12000</v>
      </c>
      <c r="H8" s="27">
        <f t="shared" si="0"/>
        <v>2374132</v>
      </c>
    </row>
    <row r="9" spans="2:8" ht="17.25" customHeight="1" x14ac:dyDescent="0.3">
      <c r="B9" s="53" t="s">
        <v>472</v>
      </c>
      <c r="C9" s="54"/>
      <c r="D9" s="54"/>
      <c r="E9" s="55"/>
      <c r="F9" s="28">
        <f>SUM(F5:F8)</f>
        <v>0</v>
      </c>
      <c r="G9" s="28">
        <f>SUM(G5:G8)</f>
        <v>35240</v>
      </c>
      <c r="H9" s="29"/>
    </row>
    <row r="10" spans="2:8" ht="17.25" customHeight="1" x14ac:dyDescent="0.3">
      <c r="B10" s="44" t="s">
        <v>469</v>
      </c>
      <c r="C10" s="45"/>
      <c r="D10" s="45"/>
      <c r="E10" s="46"/>
      <c r="F10" s="20">
        <f>H8</f>
        <v>2374132</v>
      </c>
      <c r="G10" s="21">
        <v>0</v>
      </c>
      <c r="H10" s="20">
        <f>F10</f>
        <v>2374132</v>
      </c>
    </row>
    <row r="11" spans="2:8" ht="16.5" customHeight="1" x14ac:dyDescent="0.3">
      <c r="B11" s="22">
        <v>45385</v>
      </c>
      <c r="C11" s="23" t="s">
        <v>473</v>
      </c>
      <c r="D11" s="23"/>
      <c r="E11" s="23"/>
      <c r="F11" s="24"/>
      <c r="G11" s="30">
        <v>15000</v>
      </c>
      <c r="H11" s="24">
        <f>H10+F11-G11</f>
        <v>2359132</v>
      </c>
    </row>
    <row r="12" spans="2:8" ht="16.5" customHeight="1" x14ac:dyDescent="0.3">
      <c r="B12" s="38">
        <v>45385</v>
      </c>
      <c r="C12" s="25" t="s">
        <v>474</v>
      </c>
      <c r="D12" s="25"/>
      <c r="E12" s="25"/>
      <c r="F12" s="26"/>
      <c r="G12" s="31">
        <v>3600</v>
      </c>
      <c r="H12" s="26">
        <f t="shared" ref="H12:H16" si="1">H11+F12-G12</f>
        <v>2355532</v>
      </c>
    </row>
    <row r="13" spans="2:8" ht="16.5" customHeight="1" x14ac:dyDescent="0.3">
      <c r="B13" s="38">
        <v>45385</v>
      </c>
      <c r="C13" s="25" t="s">
        <v>474</v>
      </c>
      <c r="D13" s="25"/>
      <c r="E13" s="25"/>
      <c r="F13" s="26"/>
      <c r="G13" s="31">
        <v>28060</v>
      </c>
      <c r="H13" s="26">
        <f t="shared" si="1"/>
        <v>2327472</v>
      </c>
    </row>
    <row r="14" spans="2:8" ht="16.5" customHeight="1" x14ac:dyDescent="0.3">
      <c r="B14" s="38">
        <v>45385</v>
      </c>
      <c r="C14" s="25" t="s">
        <v>474</v>
      </c>
      <c r="D14" s="25"/>
      <c r="E14" s="25"/>
      <c r="F14" s="26"/>
      <c r="G14" s="31">
        <v>11880</v>
      </c>
      <c r="H14" s="26">
        <f t="shared" si="1"/>
        <v>2315592</v>
      </c>
    </row>
    <row r="15" spans="2:8" ht="16.5" customHeight="1" x14ac:dyDescent="0.3">
      <c r="B15" s="38">
        <v>45385</v>
      </c>
      <c r="C15" s="25" t="s">
        <v>474</v>
      </c>
      <c r="D15" s="25"/>
      <c r="E15" s="25"/>
      <c r="F15" s="26"/>
      <c r="G15" s="31">
        <v>15700</v>
      </c>
      <c r="H15" s="26">
        <f t="shared" si="1"/>
        <v>2299892</v>
      </c>
    </row>
    <row r="16" spans="2:8" ht="16.5" customHeight="1" x14ac:dyDescent="0.3">
      <c r="B16" s="39">
        <v>45385</v>
      </c>
      <c r="C16" s="32" t="s">
        <v>475</v>
      </c>
      <c r="D16" s="32"/>
      <c r="E16" s="32"/>
      <c r="F16" s="27"/>
      <c r="G16" s="33">
        <v>9240</v>
      </c>
      <c r="H16" s="27">
        <f t="shared" si="1"/>
        <v>2290652</v>
      </c>
    </row>
    <row r="17" spans="2:8" ht="17.25" customHeight="1" x14ac:dyDescent="0.3">
      <c r="B17" s="53" t="s">
        <v>472</v>
      </c>
      <c r="C17" s="54"/>
      <c r="D17" s="54"/>
      <c r="E17" s="55"/>
      <c r="F17" s="28">
        <f>SUM(F15:F16)</f>
        <v>0</v>
      </c>
      <c r="G17" s="28">
        <f>SUM(G11:G16)</f>
        <v>83480</v>
      </c>
      <c r="H17" s="29"/>
    </row>
    <row r="18" spans="2:8" ht="17.25" customHeight="1" x14ac:dyDescent="0.3">
      <c r="B18" s="44" t="s">
        <v>469</v>
      </c>
      <c r="C18" s="45"/>
      <c r="D18" s="45"/>
      <c r="E18" s="46"/>
      <c r="F18" s="20">
        <f>H16</f>
        <v>2290652</v>
      </c>
      <c r="G18" s="21">
        <v>0</v>
      </c>
      <c r="H18" s="20">
        <f>F18</f>
        <v>2290652</v>
      </c>
    </row>
    <row r="19" spans="2:8" ht="16.5" customHeight="1" x14ac:dyDescent="0.3">
      <c r="B19" s="22">
        <v>45386</v>
      </c>
      <c r="C19" s="23" t="s">
        <v>475</v>
      </c>
      <c r="D19" s="23"/>
      <c r="E19" s="23"/>
      <c r="F19" s="24"/>
      <c r="G19" s="30">
        <v>4320</v>
      </c>
      <c r="H19" s="34">
        <f>H18+F19-G19</f>
        <v>2286332</v>
      </c>
    </row>
    <row r="20" spans="2:8" ht="16.5" customHeight="1" x14ac:dyDescent="0.3">
      <c r="B20" s="38">
        <v>45386</v>
      </c>
      <c r="C20" s="25" t="s">
        <v>476</v>
      </c>
      <c r="D20" s="25"/>
      <c r="E20" s="25"/>
      <c r="F20" s="26"/>
      <c r="G20" s="31">
        <v>14000</v>
      </c>
      <c r="H20" s="26">
        <f>H19+F20-G20</f>
        <v>2272332</v>
      </c>
    </row>
    <row r="21" spans="2:8" ht="17.25" customHeight="1" x14ac:dyDescent="0.3">
      <c r="B21" s="53" t="s">
        <v>472</v>
      </c>
      <c r="C21" s="54"/>
      <c r="D21" s="54"/>
      <c r="E21" s="55"/>
      <c r="F21" s="28">
        <f>SUM(F19:F20)</f>
        <v>0</v>
      </c>
      <c r="G21" s="28">
        <f>SUM(G19:G20)</f>
        <v>18320</v>
      </c>
      <c r="H21" s="29"/>
    </row>
    <row r="22" spans="2:8" ht="17.25" customHeight="1" x14ac:dyDescent="0.3">
      <c r="B22" s="44" t="s">
        <v>469</v>
      </c>
      <c r="C22" s="45"/>
      <c r="D22" s="45"/>
      <c r="E22" s="46"/>
      <c r="F22" s="20">
        <f>H20</f>
        <v>2272332</v>
      </c>
      <c r="G22" s="21">
        <v>0</v>
      </c>
      <c r="H22" s="20">
        <f>F22</f>
        <v>2272332</v>
      </c>
    </row>
    <row r="23" spans="2:8" ht="16.5" customHeight="1" x14ac:dyDescent="0.3">
      <c r="B23" s="22">
        <v>45387</v>
      </c>
      <c r="C23" s="25" t="s">
        <v>475</v>
      </c>
      <c r="D23" s="25"/>
      <c r="E23" s="25"/>
      <c r="F23" s="24"/>
      <c r="G23" s="31">
        <v>15000</v>
      </c>
      <c r="H23" s="34">
        <f>H22+F23-G23</f>
        <v>2257332</v>
      </c>
    </row>
    <row r="24" spans="2:8" ht="16.5" customHeight="1" x14ac:dyDescent="0.3">
      <c r="B24" s="38">
        <v>45387</v>
      </c>
      <c r="C24" s="25" t="s">
        <v>477</v>
      </c>
      <c r="D24" s="25"/>
      <c r="E24" s="25"/>
      <c r="F24" s="26"/>
      <c r="G24" s="31">
        <v>14000</v>
      </c>
      <c r="H24" s="26">
        <f>H23+F24-G24</f>
        <v>2243332</v>
      </c>
    </row>
    <row r="25" spans="2:8" ht="17.25" customHeight="1" x14ac:dyDescent="0.3">
      <c r="B25" s="53" t="s">
        <v>472</v>
      </c>
      <c r="C25" s="54"/>
      <c r="D25" s="54"/>
      <c r="E25" s="55"/>
      <c r="F25" s="28">
        <f>SUM(F23:F24)</f>
        <v>0</v>
      </c>
      <c r="G25" s="28">
        <f>SUM(G23:G24)</f>
        <v>29000</v>
      </c>
      <c r="H25" s="29"/>
    </row>
    <row r="26" spans="2:8" ht="17.25" customHeight="1" x14ac:dyDescent="0.3">
      <c r="B26" s="44" t="s">
        <v>469</v>
      </c>
      <c r="C26" s="45"/>
      <c r="D26" s="45"/>
      <c r="E26" s="46"/>
      <c r="F26" s="20">
        <f>H24</f>
        <v>2243332</v>
      </c>
      <c r="G26" s="21">
        <v>0</v>
      </c>
      <c r="H26" s="20">
        <f>F26</f>
        <v>2243332</v>
      </c>
    </row>
    <row r="27" spans="2:8" ht="16.5" customHeight="1" x14ac:dyDescent="0.3">
      <c r="B27" s="35">
        <v>45388</v>
      </c>
      <c r="C27" s="23" t="s">
        <v>478</v>
      </c>
      <c r="D27" s="36"/>
      <c r="E27" s="23"/>
      <c r="F27" s="24"/>
      <c r="G27" s="37">
        <v>60000</v>
      </c>
      <c r="H27" s="24">
        <f>H26+F27-G27</f>
        <v>2183332</v>
      </c>
    </row>
    <row r="28" spans="2:8" ht="16.5" customHeight="1" x14ac:dyDescent="0.3">
      <c r="B28" s="56" t="s">
        <v>472</v>
      </c>
      <c r="C28" s="57"/>
      <c r="D28" s="57"/>
      <c r="E28" s="58"/>
      <c r="F28" s="28">
        <f>SUM(F27)</f>
        <v>0</v>
      </c>
      <c r="G28" s="28">
        <f>SUM(G27)</f>
        <v>60000</v>
      </c>
      <c r="H28" s="29"/>
    </row>
    <row r="29" spans="2:8" ht="16.5" customHeight="1" x14ac:dyDescent="0.3">
      <c r="B29" s="50" t="s">
        <v>469</v>
      </c>
      <c r="C29" s="51"/>
      <c r="D29" s="51"/>
      <c r="E29" s="52"/>
      <c r="F29" s="20">
        <f>H27</f>
        <v>2183332</v>
      </c>
      <c r="G29" s="21">
        <v>0</v>
      </c>
      <c r="H29" s="20">
        <f>F29</f>
        <v>2183332</v>
      </c>
    </row>
    <row r="30" spans="2:8" ht="16.5" customHeight="1" x14ac:dyDescent="0.3">
      <c r="B30" s="22">
        <v>45389</v>
      </c>
      <c r="C30" s="23" t="s">
        <v>470</v>
      </c>
      <c r="D30" s="23"/>
      <c r="E30" s="23"/>
      <c r="F30" s="24"/>
      <c r="G30" s="30">
        <v>8280</v>
      </c>
      <c r="H30" s="34">
        <f>H29+F30-G30</f>
        <v>2175052</v>
      </c>
    </row>
    <row r="31" spans="2:8" ht="16.5" customHeight="1" x14ac:dyDescent="0.3">
      <c r="B31" s="38">
        <v>45389</v>
      </c>
      <c r="C31" s="25" t="s">
        <v>470</v>
      </c>
      <c r="D31" s="25"/>
      <c r="E31" s="25"/>
      <c r="F31" s="26"/>
      <c r="G31" s="31">
        <v>15600</v>
      </c>
      <c r="H31" s="26">
        <f>H30+F31-G31</f>
        <v>2159452</v>
      </c>
    </row>
    <row r="32" spans="2:8" ht="16.5" customHeight="1" x14ac:dyDescent="0.3">
      <c r="B32" s="56" t="s">
        <v>472</v>
      </c>
      <c r="C32" s="57"/>
      <c r="D32" s="57"/>
      <c r="E32" s="58"/>
      <c r="F32" s="28">
        <f>SUM(F30:F31)</f>
        <v>0</v>
      </c>
      <c r="G32" s="28">
        <f>SUM(G30:G31)</f>
        <v>23880</v>
      </c>
      <c r="H32" s="29"/>
    </row>
    <row r="33" spans="2:8" ht="16.5" customHeight="1" x14ac:dyDescent="0.3">
      <c r="B33" s="50" t="s">
        <v>469</v>
      </c>
      <c r="C33" s="51"/>
      <c r="D33" s="51"/>
      <c r="E33" s="52"/>
      <c r="F33" s="20">
        <f>H31</f>
        <v>2159452</v>
      </c>
      <c r="G33" s="21">
        <v>0</v>
      </c>
      <c r="H33" s="20">
        <f>F33</f>
        <v>2159452</v>
      </c>
    </row>
    <row r="34" spans="2:8" ht="16.5" customHeight="1" x14ac:dyDescent="0.3">
      <c r="B34" s="22">
        <v>45390</v>
      </c>
      <c r="C34" s="23" t="s">
        <v>470</v>
      </c>
      <c r="D34" s="23"/>
      <c r="E34" s="23"/>
      <c r="F34" s="24"/>
      <c r="G34" s="24">
        <v>33600</v>
      </c>
      <c r="H34" s="24">
        <f>H33+F34-G34</f>
        <v>2125852</v>
      </c>
    </row>
    <row r="35" spans="2:8" ht="16.5" customHeight="1" x14ac:dyDescent="0.3">
      <c r="B35" s="38">
        <v>45390</v>
      </c>
      <c r="C35" s="25" t="s">
        <v>470</v>
      </c>
      <c r="D35" s="25"/>
      <c r="E35" s="25"/>
      <c r="F35" s="26"/>
      <c r="G35" s="26">
        <v>22000</v>
      </c>
      <c r="H35" s="26">
        <f t="shared" ref="H35:H40" si="2">H34+F35-G35</f>
        <v>2103852</v>
      </c>
    </row>
    <row r="36" spans="2:8" ht="16.5" customHeight="1" x14ac:dyDescent="0.3">
      <c r="B36" s="38">
        <v>45390</v>
      </c>
      <c r="C36" s="25" t="s">
        <v>479</v>
      </c>
      <c r="D36" s="25"/>
      <c r="E36" s="25"/>
      <c r="F36" s="26"/>
      <c r="G36" s="26">
        <v>100000</v>
      </c>
      <c r="H36" s="26">
        <f t="shared" si="2"/>
        <v>2003852</v>
      </c>
    </row>
    <row r="37" spans="2:8" ht="16.5" customHeight="1" x14ac:dyDescent="0.3">
      <c r="B37" s="38">
        <v>45390</v>
      </c>
      <c r="C37" s="25" t="s">
        <v>470</v>
      </c>
      <c r="D37" s="25"/>
      <c r="E37" s="25"/>
      <c r="F37" s="26"/>
      <c r="G37" s="26">
        <v>8800</v>
      </c>
      <c r="H37" s="26">
        <f t="shared" si="2"/>
        <v>1995052</v>
      </c>
    </row>
    <row r="38" spans="2:8" ht="16.5" customHeight="1" x14ac:dyDescent="0.3">
      <c r="B38" s="38">
        <v>45390</v>
      </c>
      <c r="C38" s="25" t="s">
        <v>470</v>
      </c>
      <c r="D38" s="25"/>
      <c r="E38" s="25"/>
      <c r="F38" s="26"/>
      <c r="G38" s="26">
        <v>7920</v>
      </c>
      <c r="H38" s="26">
        <f t="shared" si="2"/>
        <v>1987132</v>
      </c>
    </row>
    <row r="39" spans="2:8" ht="16.5" customHeight="1" x14ac:dyDescent="0.3">
      <c r="B39" s="38">
        <v>45390</v>
      </c>
      <c r="C39" s="25" t="s">
        <v>470</v>
      </c>
      <c r="D39" s="25"/>
      <c r="E39" s="25"/>
      <c r="F39" s="26"/>
      <c r="G39" s="26">
        <v>38500</v>
      </c>
      <c r="H39" s="26">
        <f t="shared" si="2"/>
        <v>1948632</v>
      </c>
    </row>
    <row r="40" spans="2:8" ht="16.5" customHeight="1" x14ac:dyDescent="0.3">
      <c r="B40" s="38">
        <v>45390</v>
      </c>
      <c r="C40" s="25" t="s">
        <v>471</v>
      </c>
      <c r="D40" s="25"/>
      <c r="E40" s="25"/>
      <c r="F40" s="26"/>
      <c r="G40" s="26">
        <v>8000</v>
      </c>
      <c r="H40" s="27">
        <f t="shared" si="2"/>
        <v>1940632</v>
      </c>
    </row>
    <row r="41" spans="2:8" ht="16.5" customHeight="1" x14ac:dyDescent="0.3">
      <c r="B41" s="56" t="s">
        <v>472</v>
      </c>
      <c r="C41" s="57"/>
      <c r="D41" s="57"/>
      <c r="E41" s="58"/>
      <c r="F41" s="28">
        <f>SUM(F34:F40)</f>
        <v>0</v>
      </c>
      <c r="G41" s="28">
        <f>SUM(G34:G40)</f>
        <v>218820</v>
      </c>
      <c r="H41" s="29"/>
    </row>
    <row r="42" spans="2:8" x14ac:dyDescent="0.3">
      <c r="B42" s="50" t="s">
        <v>469</v>
      </c>
      <c r="C42" s="51"/>
      <c r="D42" s="51"/>
      <c r="E42" s="52"/>
      <c r="F42" s="20">
        <f>H40</f>
        <v>1940632</v>
      </c>
      <c r="G42" s="21">
        <v>0</v>
      </c>
      <c r="H42" s="20">
        <f>F42</f>
        <v>1940632</v>
      </c>
    </row>
    <row r="43" spans="2:8" ht="17.25" thickBot="1" x14ac:dyDescent="0.35">
      <c r="B43" s="41" t="s">
        <v>480</v>
      </c>
      <c r="C43" s="42"/>
      <c r="D43" s="42"/>
      <c r="E43" s="43"/>
      <c r="F43" s="40">
        <f>SUM(G36:G37,H37:H39)</f>
        <v>6039616</v>
      </c>
      <c r="G43" s="40">
        <f>SUM(G9,G17,G21,G25,G28,G32,G41)</f>
        <v>468740</v>
      </c>
      <c r="H43" s="40">
        <f>F43-G43</f>
        <v>5570876</v>
      </c>
    </row>
  </sheetData>
  <mergeCells count="16">
    <mergeCell ref="B43:E43"/>
    <mergeCell ref="B10:E10"/>
    <mergeCell ref="B4:E4"/>
    <mergeCell ref="B42:E42"/>
    <mergeCell ref="B33:E33"/>
    <mergeCell ref="B29:E29"/>
    <mergeCell ref="B26:E26"/>
    <mergeCell ref="B22:E22"/>
    <mergeCell ref="B18:E18"/>
    <mergeCell ref="B9:E9"/>
    <mergeCell ref="B41:E41"/>
    <mergeCell ref="B32:E32"/>
    <mergeCell ref="B28:E28"/>
    <mergeCell ref="B25:E25"/>
    <mergeCell ref="B21:E21"/>
    <mergeCell ref="B17:E17"/>
  </mergeCells>
  <phoneticPr fontId="2" type="noConversion"/>
  <conditionalFormatting sqref="B35:B40 B31 B24 B20 B12:B16 B6:B8">
    <cfRule type="expression" dxfId="1" priority="2">
      <formula>B5=B6</formula>
    </cfRule>
  </conditionalFormatting>
  <conditionalFormatting sqref="B34 B30 B27 B23 B19 B11 B5">
    <cfRule type="expression" dxfId="0" priority="3">
      <formula>#REF!=B5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>
                  <from>
                    <xdr:col>4</xdr:col>
                    <xdr:colOff>0</xdr:colOff>
                    <xdr:row>0</xdr:row>
                    <xdr:rowOff>219075</xdr:rowOff>
                  </from>
                  <to>
                    <xdr:col>5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단추2_Click">
                <anchor moveWithCells="1">
                  <from>
                    <xdr:col>5</xdr:col>
                    <xdr:colOff>638175</xdr:colOff>
                    <xdr:row>0</xdr:row>
                    <xdr:rowOff>180975</xdr:rowOff>
                  </from>
                  <to>
                    <xdr:col>6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상품명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장기영 엑셀장인</dc:creator>
  <cp:lastModifiedBy>xlwhy.com</cp:lastModifiedBy>
  <dcterms:created xsi:type="dcterms:W3CDTF">2024-06-06T21:36:56Z</dcterms:created>
  <dcterms:modified xsi:type="dcterms:W3CDTF">2024-08-05T21:12:54Z</dcterms:modified>
</cp:coreProperties>
</file>