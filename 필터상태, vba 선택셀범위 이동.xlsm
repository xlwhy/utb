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2775" yWindow="135" windowWidth="21495" windowHeight="13350"/>
  </bookViews>
  <sheets>
    <sheet name="Sheet1" sheetId="2" r:id="rId1"/>
  </sheets>
  <definedNames>
    <definedName name="_xlnm._FilterDatabase" localSheetId="0" hidden="1">Sheet1!$B$3:$H$43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" l="1"/>
  <c r="G17" i="2"/>
  <c r="F41" i="2"/>
  <c r="G32" i="2"/>
  <c r="F32" i="2"/>
  <c r="G28" i="2"/>
  <c r="F28" i="2"/>
  <c r="G25" i="2"/>
  <c r="F25" i="2"/>
  <c r="G21" i="2"/>
  <c r="F21" i="2"/>
  <c r="F17" i="2"/>
  <c r="G9" i="2"/>
  <c r="F9" i="2"/>
  <c r="H5" i="2"/>
  <c r="H6" i="2" s="1"/>
  <c r="H7" i="2" s="1"/>
  <c r="H8" i="2" s="1"/>
  <c r="F10" i="2" s="1"/>
  <c r="H10" i="2" s="1"/>
  <c r="H11" i="2" s="1"/>
  <c r="H12" i="2" s="1"/>
  <c r="H13" i="2" s="1"/>
  <c r="H14" i="2" s="1"/>
  <c r="H15" i="2" s="1"/>
  <c r="H16" i="2" s="1"/>
  <c r="F18" i="2" s="1"/>
  <c r="H18" i="2" s="1"/>
  <c r="H19" i="2" s="1"/>
  <c r="H20" i="2" s="1"/>
  <c r="F22" i="2" s="1"/>
  <c r="H22" i="2" s="1"/>
  <c r="H23" i="2" s="1"/>
  <c r="H24" i="2" s="1"/>
  <c r="F26" i="2" s="1"/>
  <c r="H26" i="2" s="1"/>
  <c r="H27" i="2" s="1"/>
  <c r="F29" i="2" s="1"/>
  <c r="H29" i="2" s="1"/>
  <c r="H30" i="2" s="1"/>
  <c r="H31" i="2" s="1"/>
  <c r="F33" i="2" s="1"/>
  <c r="H33" i="2" s="1"/>
  <c r="H34" i="2" s="1"/>
  <c r="H35" i="2" s="1"/>
  <c r="H36" i="2" s="1"/>
  <c r="H37" i="2" s="1"/>
  <c r="G43" i="2" l="1"/>
  <c r="H38" i="2"/>
  <c r="H39" i="2" s="1"/>
  <c r="H40" i="2" s="1"/>
  <c r="F42" i="2" s="1"/>
  <c r="H42" i="2" s="1"/>
  <c r="F43" i="2" l="1"/>
  <c r="H43" i="2" s="1"/>
</calcChain>
</file>

<file path=xl/sharedStrings.xml><?xml version="1.0" encoding="utf-8"?>
<sst xmlns="http://schemas.openxmlformats.org/spreadsheetml/2006/main" count="48" uniqueCount="20">
  <si>
    <t>현금 보조부원장</t>
    <phoneticPr fontId="1" type="noConversion"/>
  </si>
  <si>
    <t>일자</t>
    <phoneticPr fontId="1" type="noConversion"/>
  </si>
  <si>
    <t>상대계정</t>
    <phoneticPr fontId="1" type="noConversion"/>
  </si>
  <si>
    <t>거래처</t>
    <phoneticPr fontId="1" type="noConversion"/>
  </si>
  <si>
    <t>내역</t>
    <phoneticPr fontId="1" type="noConversion"/>
  </si>
  <si>
    <t>입금액</t>
    <phoneticPr fontId="1" type="noConversion"/>
  </si>
  <si>
    <t>지출액</t>
    <phoneticPr fontId="1" type="noConversion"/>
  </si>
  <si>
    <t>잔액</t>
    <phoneticPr fontId="1" type="noConversion"/>
  </si>
  <si>
    <t>마감후 잔액</t>
  </si>
  <si>
    <t>여비교통비</t>
  </si>
  <si>
    <t>차량주차비</t>
  </si>
  <si>
    <t>소           계</t>
  </si>
  <si>
    <t>운반비</t>
    <phoneticPr fontId="1" type="noConversion"/>
  </si>
  <si>
    <t>여비교통비</t>
    <phoneticPr fontId="1" type="noConversion"/>
  </si>
  <si>
    <t>여비교통비</t>
    <phoneticPr fontId="1" type="noConversion"/>
  </si>
  <si>
    <t>차량주차비</t>
    <phoneticPr fontId="1" type="noConversion"/>
  </si>
  <si>
    <t>차량주차비</t>
    <phoneticPr fontId="1" type="noConversion"/>
  </si>
  <si>
    <t>인건비</t>
    <phoneticPr fontId="1" type="noConversion"/>
  </si>
  <si>
    <t>복리후생비</t>
  </si>
  <si>
    <t>월    마    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</si>
</sst>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&quot;월&quot;\ d&quot;일&quot;;@"/>
    <numFmt numFmtId="177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2" fillId="0" borderId="0" applyNumberFormat="0" applyFont="0" applyFill="0" applyBorder="0" applyAlignment="0" applyProtection="0"/>
    <xf numFmtId="0" fontId="4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7" fillId="0" borderId="0" xfId="0" applyFont="1" applyFill="1" applyAlignment="1">
      <alignment vertical="center"/>
    </xf>
    <xf numFmtId="0" fontId="3" fillId="0" borderId="0" xfId="0" applyFont="1">
      <alignment vertical="center"/>
    </xf>
    <xf numFmtId="176" fontId="5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  <xf numFmtId="41" fontId="5" fillId="0" borderId="0" xfId="4" applyFont="1" applyFill="1">
      <alignment vertical="center"/>
    </xf>
    <xf numFmtId="0" fontId="5" fillId="2" borderId="1" xfId="0" applyFont="1" applyFill="1" applyBorder="1" applyAlignment="1">
      <alignment vertical="center"/>
    </xf>
    <xf numFmtId="41" fontId="5" fillId="2" borderId="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41" fontId="5" fillId="2" borderId="2" xfId="4" applyFont="1" applyFill="1" applyBorder="1" applyAlignment="1">
      <alignment horizontal="center" vertical="center"/>
    </xf>
    <xf numFmtId="41" fontId="5" fillId="3" borderId="6" xfId="4" applyFont="1" applyFill="1" applyBorder="1" applyAlignment="1">
      <alignment horizontal="center" vertical="center"/>
    </xf>
    <xf numFmtId="41" fontId="5" fillId="0" borderId="6" xfId="4" applyFont="1" applyBorder="1">
      <alignment vertical="center"/>
    </xf>
    <xf numFmtId="177" fontId="5" fillId="3" borderId="7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41" fontId="5" fillId="3" borderId="8" xfId="4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41" fontId="5" fillId="3" borderId="10" xfId="4" applyFont="1" applyFill="1" applyBorder="1" applyAlignment="1">
      <alignment horizontal="center" vertical="center"/>
    </xf>
    <xf numFmtId="41" fontId="5" fillId="3" borderId="11" xfId="4" applyFont="1" applyFill="1" applyBorder="1" applyAlignment="1">
      <alignment horizontal="center" vertical="center"/>
    </xf>
    <xf numFmtId="41" fontId="5" fillId="2" borderId="15" xfId="4" applyFont="1" applyFill="1" applyBorder="1" applyAlignment="1">
      <alignment horizontal="center" vertical="center"/>
    </xf>
    <xf numFmtId="41" fontId="5" fillId="2" borderId="15" xfId="4" applyFont="1" applyFill="1" applyBorder="1">
      <alignment vertical="center"/>
    </xf>
    <xf numFmtId="41" fontId="5" fillId="0" borderId="8" xfId="4" applyFont="1" applyBorder="1">
      <alignment vertical="center"/>
    </xf>
    <xf numFmtId="41" fontId="5" fillId="0" borderId="10" xfId="4" applyFont="1" applyBorder="1">
      <alignment vertical="center"/>
    </xf>
    <xf numFmtId="0" fontId="5" fillId="3" borderId="11" xfId="0" applyFont="1" applyFill="1" applyBorder="1" applyAlignment="1">
      <alignment horizontal="center" vertical="center"/>
    </xf>
    <xf numFmtId="41" fontId="5" fillId="0" borderId="11" xfId="4" applyFont="1" applyBorder="1">
      <alignment vertical="center"/>
    </xf>
    <xf numFmtId="41" fontId="5" fillId="3" borderId="17" xfId="4" applyFont="1" applyFill="1" applyBorder="1" applyAlignment="1">
      <alignment horizontal="center" vertical="center"/>
    </xf>
    <xf numFmtId="176" fontId="5" fillId="3" borderId="7" xfId="0" applyNumberFormat="1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1" fontId="5" fillId="4" borderId="8" xfId="4" applyFont="1" applyFill="1" applyBorder="1">
      <alignment vertical="center"/>
    </xf>
    <xf numFmtId="177" fontId="8" fillId="3" borderId="9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41" fontId="5" fillId="5" borderId="21" xfId="4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</cellXfs>
  <cellStyles count="5">
    <cellStyle name="쉼표 [0]" xfId="4" builtinId="6"/>
    <cellStyle name="표준" xfId="0" builtinId="0"/>
    <cellStyle name="표준 2" xfId="1"/>
    <cellStyle name="표준 2 2" xfId="3"/>
    <cellStyle name="표준 3" xfId="2"/>
  </cellStyles>
  <dxfs count="2"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219075</xdr:rowOff>
        </xdr:from>
        <xdr:to>
          <xdr:col>5</xdr:col>
          <xdr:colOff>76200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0</xdr:row>
          <xdr:rowOff>180975</xdr:rowOff>
        </xdr:from>
        <xdr:to>
          <xdr:col>6</xdr:col>
          <xdr:colOff>361950</xdr:colOff>
          <xdr:row>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43"/>
  <sheetViews>
    <sheetView tabSelected="1" workbookViewId="0">
      <selection activeCell="B12" sqref="B12"/>
    </sheetView>
  </sheetViews>
  <sheetFormatPr defaultRowHeight="16.5" x14ac:dyDescent="0.3"/>
  <cols>
    <col min="1" max="1" width="2.625" style="2" customWidth="1"/>
    <col min="2" max="2" width="10" style="2" customWidth="1"/>
    <col min="3" max="3" width="10.25" style="2" bestFit="1" customWidth="1"/>
    <col min="4" max="4" width="6.5" style="2" customWidth="1"/>
    <col min="5" max="5" width="5" style="2" customWidth="1"/>
    <col min="6" max="6" width="9.625" style="2" bestFit="1" customWidth="1"/>
    <col min="7" max="7" width="8.375" style="2" bestFit="1" customWidth="1"/>
    <col min="8" max="8" width="9.625" style="2" bestFit="1" customWidth="1"/>
    <col min="9" max="16384" width="9" style="2"/>
  </cols>
  <sheetData>
    <row r="1" spans="2:8" ht="26.25" x14ac:dyDescent="0.3">
      <c r="B1" s="1" t="s">
        <v>0</v>
      </c>
      <c r="C1" s="1"/>
      <c r="D1" s="1"/>
      <c r="E1" s="1"/>
      <c r="F1" s="1"/>
      <c r="G1" s="1"/>
      <c r="H1" s="1"/>
    </row>
    <row r="2" spans="2:8" ht="17.25" thickBot="1" x14ac:dyDescent="0.35">
      <c r="B2" s="3"/>
      <c r="C2" s="4"/>
      <c r="D2" s="5"/>
      <c r="E2" s="5"/>
      <c r="F2" s="6"/>
      <c r="G2" s="6"/>
      <c r="H2" s="6"/>
    </row>
    <row r="3" spans="2:8" ht="17.25" thickBot="1" x14ac:dyDescent="0.35">
      <c r="B3" s="7" t="s">
        <v>1</v>
      </c>
      <c r="C3" s="8" t="s">
        <v>2</v>
      </c>
      <c r="D3" s="9" t="s">
        <v>3</v>
      </c>
      <c r="E3" s="9" t="s">
        <v>4</v>
      </c>
      <c r="F3" s="10" t="s">
        <v>5</v>
      </c>
      <c r="G3" s="10" t="s">
        <v>6</v>
      </c>
      <c r="H3" s="10" t="s">
        <v>7</v>
      </c>
    </row>
    <row r="4" spans="2:8" ht="17.25" thickTop="1" x14ac:dyDescent="0.3">
      <c r="B4" s="38" t="s">
        <v>8</v>
      </c>
      <c r="C4" s="39"/>
      <c r="D4" s="39"/>
      <c r="E4" s="40"/>
      <c r="F4" s="11">
        <v>1248124</v>
      </c>
      <c r="G4" s="12">
        <v>0</v>
      </c>
      <c r="H4" s="11">
        <v>2409372</v>
      </c>
    </row>
    <row r="5" spans="2:8" ht="17.25" customHeight="1" x14ac:dyDescent="0.3">
      <c r="B5" s="13">
        <v>45384</v>
      </c>
      <c r="C5" s="14" t="s">
        <v>9</v>
      </c>
      <c r="D5" s="14"/>
      <c r="E5" s="14"/>
      <c r="F5" s="15"/>
      <c r="G5" s="15">
        <v>7500</v>
      </c>
      <c r="H5" s="15">
        <f>H4+F5-G5</f>
        <v>2401872</v>
      </c>
    </row>
    <row r="6" spans="2:8" ht="17.25" customHeight="1" x14ac:dyDescent="0.3">
      <c r="B6" s="29">
        <v>45384</v>
      </c>
      <c r="C6" s="16" t="s">
        <v>9</v>
      </c>
      <c r="D6" s="16"/>
      <c r="E6" s="16"/>
      <c r="F6" s="17"/>
      <c r="G6" s="17">
        <v>3840</v>
      </c>
      <c r="H6" s="17">
        <f t="shared" ref="H6:H8" si="0">H5+F6-G6</f>
        <v>2398032</v>
      </c>
    </row>
    <row r="7" spans="2:8" ht="17.25" customHeight="1" x14ac:dyDescent="0.3">
      <c r="B7" s="29">
        <v>45384</v>
      </c>
      <c r="C7" s="16" t="s">
        <v>9</v>
      </c>
      <c r="D7" s="16"/>
      <c r="E7" s="16"/>
      <c r="F7" s="17"/>
      <c r="G7" s="17">
        <v>11900</v>
      </c>
      <c r="H7" s="17">
        <f t="shared" si="0"/>
        <v>2386132</v>
      </c>
    </row>
    <row r="8" spans="2:8" ht="17.25" customHeight="1" x14ac:dyDescent="0.3">
      <c r="B8" s="29">
        <v>45384</v>
      </c>
      <c r="C8" s="16" t="s">
        <v>10</v>
      </c>
      <c r="D8" s="16"/>
      <c r="E8" s="16"/>
      <c r="F8" s="17"/>
      <c r="G8" s="17">
        <v>12000</v>
      </c>
      <c r="H8" s="18">
        <f t="shared" si="0"/>
        <v>2374132</v>
      </c>
    </row>
    <row r="9" spans="2:8" ht="17.25" customHeight="1" x14ac:dyDescent="0.3">
      <c r="B9" s="44" t="s">
        <v>11</v>
      </c>
      <c r="C9" s="45"/>
      <c r="D9" s="45"/>
      <c r="E9" s="46"/>
      <c r="F9" s="19">
        <f>SUM(F5:F8)</f>
        <v>0</v>
      </c>
      <c r="G9" s="19">
        <f>SUM(G5:G8)</f>
        <v>35240</v>
      </c>
      <c r="H9" s="20"/>
    </row>
    <row r="10" spans="2:8" ht="17.25" customHeight="1" x14ac:dyDescent="0.3">
      <c r="B10" s="35" t="s">
        <v>8</v>
      </c>
      <c r="C10" s="36"/>
      <c r="D10" s="36"/>
      <c r="E10" s="37"/>
      <c r="F10" s="11">
        <f>H8</f>
        <v>2374132</v>
      </c>
      <c r="G10" s="12">
        <v>0</v>
      </c>
      <c r="H10" s="11">
        <f>F10</f>
        <v>2374132</v>
      </c>
    </row>
    <row r="11" spans="2:8" ht="16.5" customHeight="1" x14ac:dyDescent="0.3">
      <c r="B11" s="13">
        <v>45385</v>
      </c>
      <c r="C11" s="14" t="s">
        <v>12</v>
      </c>
      <c r="D11" s="14"/>
      <c r="E11" s="14"/>
      <c r="F11" s="15"/>
      <c r="G11" s="21">
        <v>15000</v>
      </c>
      <c r="H11" s="15">
        <f>H10+F11-G11</f>
        <v>2359132</v>
      </c>
    </row>
    <row r="12" spans="2:8" ht="16.5" customHeight="1" x14ac:dyDescent="0.3">
      <c r="B12" s="29">
        <v>45385</v>
      </c>
      <c r="C12" s="16" t="s">
        <v>13</v>
      </c>
      <c r="D12" s="16"/>
      <c r="E12" s="16"/>
      <c r="F12" s="17"/>
      <c r="G12" s="22">
        <v>3600</v>
      </c>
      <c r="H12" s="17">
        <f t="shared" ref="H12:H16" si="1">H11+F12-G12</f>
        <v>2355532</v>
      </c>
    </row>
    <row r="13" spans="2:8" ht="16.5" customHeight="1" x14ac:dyDescent="0.3">
      <c r="B13" s="29">
        <v>45385</v>
      </c>
      <c r="C13" s="16" t="s">
        <v>13</v>
      </c>
      <c r="D13" s="16"/>
      <c r="E13" s="16"/>
      <c r="F13" s="17"/>
      <c r="G13" s="22">
        <v>28060</v>
      </c>
      <c r="H13" s="17">
        <f t="shared" si="1"/>
        <v>2327472</v>
      </c>
    </row>
    <row r="14" spans="2:8" ht="16.5" customHeight="1" x14ac:dyDescent="0.3">
      <c r="B14" s="29">
        <v>45385</v>
      </c>
      <c r="C14" s="16" t="s">
        <v>13</v>
      </c>
      <c r="D14" s="16"/>
      <c r="E14" s="16"/>
      <c r="F14" s="17"/>
      <c r="G14" s="22">
        <v>11880</v>
      </c>
      <c r="H14" s="17">
        <f t="shared" si="1"/>
        <v>2315592</v>
      </c>
    </row>
    <row r="15" spans="2:8" ht="16.5" customHeight="1" x14ac:dyDescent="0.3">
      <c r="B15" s="29">
        <v>45385</v>
      </c>
      <c r="C15" s="16" t="s">
        <v>13</v>
      </c>
      <c r="D15" s="16"/>
      <c r="E15" s="16"/>
      <c r="F15" s="17"/>
      <c r="G15" s="22">
        <v>15700</v>
      </c>
      <c r="H15" s="17">
        <f t="shared" si="1"/>
        <v>2299892</v>
      </c>
    </row>
    <row r="16" spans="2:8" ht="16.5" customHeight="1" x14ac:dyDescent="0.3">
      <c r="B16" s="30">
        <v>45385</v>
      </c>
      <c r="C16" s="23" t="s">
        <v>14</v>
      </c>
      <c r="D16" s="23"/>
      <c r="E16" s="23"/>
      <c r="F16" s="18"/>
      <c r="G16" s="24">
        <v>9240</v>
      </c>
      <c r="H16" s="18">
        <f t="shared" si="1"/>
        <v>2290652</v>
      </c>
    </row>
    <row r="17" spans="2:8" ht="17.25" customHeight="1" x14ac:dyDescent="0.3">
      <c r="B17" s="44" t="s">
        <v>11</v>
      </c>
      <c r="C17" s="45"/>
      <c r="D17" s="45"/>
      <c r="E17" s="46"/>
      <c r="F17" s="19">
        <f>SUM(F15:F16)</f>
        <v>0</v>
      </c>
      <c r="G17" s="19">
        <f>SUM(G11:G16)</f>
        <v>83480</v>
      </c>
      <c r="H17" s="20"/>
    </row>
    <row r="18" spans="2:8" ht="17.25" customHeight="1" x14ac:dyDescent="0.3">
      <c r="B18" s="35" t="s">
        <v>8</v>
      </c>
      <c r="C18" s="36"/>
      <c r="D18" s="36"/>
      <c r="E18" s="37"/>
      <c r="F18" s="11">
        <f>H16</f>
        <v>2290652</v>
      </c>
      <c r="G18" s="12">
        <v>0</v>
      </c>
      <c r="H18" s="11">
        <f>F18</f>
        <v>2290652</v>
      </c>
    </row>
    <row r="19" spans="2:8" ht="16.5" customHeight="1" x14ac:dyDescent="0.3">
      <c r="B19" s="13">
        <v>45386</v>
      </c>
      <c r="C19" s="14" t="s">
        <v>14</v>
      </c>
      <c r="D19" s="14"/>
      <c r="E19" s="14"/>
      <c r="F19" s="15"/>
      <c r="G19" s="21">
        <v>4320</v>
      </c>
      <c r="H19" s="25">
        <f>H18+F19-G19</f>
        <v>2286332</v>
      </c>
    </row>
    <row r="20" spans="2:8" ht="16.5" customHeight="1" x14ac:dyDescent="0.3">
      <c r="B20" s="29">
        <v>45386</v>
      </c>
      <c r="C20" s="16" t="s">
        <v>15</v>
      </c>
      <c r="D20" s="16"/>
      <c r="E20" s="16"/>
      <c r="F20" s="17"/>
      <c r="G20" s="22">
        <v>14000</v>
      </c>
      <c r="H20" s="17">
        <f>H19+F20-G20</f>
        <v>2272332</v>
      </c>
    </row>
    <row r="21" spans="2:8" ht="17.25" customHeight="1" x14ac:dyDescent="0.3">
      <c r="B21" s="44" t="s">
        <v>11</v>
      </c>
      <c r="C21" s="45"/>
      <c r="D21" s="45"/>
      <c r="E21" s="46"/>
      <c r="F21" s="19">
        <f>SUM(F19:F20)</f>
        <v>0</v>
      </c>
      <c r="G21" s="19">
        <f>SUM(G19:G20)</f>
        <v>18320</v>
      </c>
      <c r="H21" s="20"/>
    </row>
    <row r="22" spans="2:8" ht="17.25" customHeight="1" x14ac:dyDescent="0.3">
      <c r="B22" s="35" t="s">
        <v>8</v>
      </c>
      <c r="C22" s="36"/>
      <c r="D22" s="36"/>
      <c r="E22" s="37"/>
      <c r="F22" s="11">
        <f>H20</f>
        <v>2272332</v>
      </c>
      <c r="G22" s="12">
        <v>0</v>
      </c>
      <c r="H22" s="11">
        <f>F22</f>
        <v>2272332</v>
      </c>
    </row>
    <row r="23" spans="2:8" ht="16.5" customHeight="1" x14ac:dyDescent="0.3">
      <c r="B23" s="13">
        <v>45387</v>
      </c>
      <c r="C23" s="16" t="s">
        <v>14</v>
      </c>
      <c r="D23" s="16"/>
      <c r="E23" s="16"/>
      <c r="F23" s="15"/>
      <c r="G23" s="22">
        <v>15000</v>
      </c>
      <c r="H23" s="25">
        <f>H22+F23-G23</f>
        <v>2257332</v>
      </c>
    </row>
    <row r="24" spans="2:8" ht="16.5" customHeight="1" x14ac:dyDescent="0.3">
      <c r="B24" s="29">
        <v>45387</v>
      </c>
      <c r="C24" s="16" t="s">
        <v>16</v>
      </c>
      <c r="D24" s="16"/>
      <c r="E24" s="16"/>
      <c r="F24" s="17"/>
      <c r="G24" s="22">
        <v>14000</v>
      </c>
      <c r="H24" s="17">
        <f>H23+F24-G24</f>
        <v>2243332</v>
      </c>
    </row>
    <row r="25" spans="2:8" ht="17.25" customHeight="1" x14ac:dyDescent="0.3">
      <c r="B25" s="44" t="s">
        <v>11</v>
      </c>
      <c r="C25" s="45"/>
      <c r="D25" s="45"/>
      <c r="E25" s="46"/>
      <c r="F25" s="19">
        <f>SUM(F23:F24)</f>
        <v>0</v>
      </c>
      <c r="G25" s="19">
        <f>SUM(G23:G24)</f>
        <v>29000</v>
      </c>
      <c r="H25" s="20"/>
    </row>
    <row r="26" spans="2:8" ht="17.25" customHeight="1" x14ac:dyDescent="0.3">
      <c r="B26" s="35" t="s">
        <v>8</v>
      </c>
      <c r="C26" s="36"/>
      <c r="D26" s="36"/>
      <c r="E26" s="37"/>
      <c r="F26" s="11">
        <f>H24</f>
        <v>2243332</v>
      </c>
      <c r="G26" s="12">
        <v>0</v>
      </c>
      <c r="H26" s="11">
        <f>F26</f>
        <v>2243332</v>
      </c>
    </row>
    <row r="27" spans="2:8" ht="16.5" customHeight="1" x14ac:dyDescent="0.3">
      <c r="B27" s="26">
        <v>45388</v>
      </c>
      <c r="C27" s="14" t="s">
        <v>17</v>
      </c>
      <c r="D27" s="27"/>
      <c r="E27" s="14"/>
      <c r="F27" s="15"/>
      <c r="G27" s="28">
        <v>60000</v>
      </c>
      <c r="H27" s="15">
        <f>H26+F27-G27</f>
        <v>2183332</v>
      </c>
    </row>
    <row r="28" spans="2:8" ht="16.5" customHeight="1" x14ac:dyDescent="0.3">
      <c r="B28" s="47" t="s">
        <v>11</v>
      </c>
      <c r="C28" s="48"/>
      <c r="D28" s="48"/>
      <c r="E28" s="49"/>
      <c r="F28" s="19">
        <f>SUM(F27)</f>
        <v>0</v>
      </c>
      <c r="G28" s="19">
        <f>SUM(G27)</f>
        <v>60000</v>
      </c>
      <c r="H28" s="20"/>
    </row>
    <row r="29" spans="2:8" ht="16.5" customHeight="1" x14ac:dyDescent="0.3">
      <c r="B29" s="41" t="s">
        <v>8</v>
      </c>
      <c r="C29" s="42"/>
      <c r="D29" s="42"/>
      <c r="E29" s="43"/>
      <c r="F29" s="11">
        <f>H27</f>
        <v>2183332</v>
      </c>
      <c r="G29" s="12">
        <v>0</v>
      </c>
      <c r="H29" s="11">
        <f>F29</f>
        <v>2183332</v>
      </c>
    </row>
    <row r="30" spans="2:8" ht="16.5" customHeight="1" x14ac:dyDescent="0.3">
      <c r="B30" s="13">
        <v>45389</v>
      </c>
      <c r="C30" s="14" t="s">
        <v>9</v>
      </c>
      <c r="D30" s="14"/>
      <c r="E30" s="14"/>
      <c r="F30" s="15"/>
      <c r="G30" s="21">
        <v>8280</v>
      </c>
      <c r="H30" s="25">
        <f>H29+F30-G30</f>
        <v>2175052</v>
      </c>
    </row>
    <row r="31" spans="2:8" ht="16.5" customHeight="1" x14ac:dyDescent="0.3">
      <c r="B31" s="29">
        <v>45389</v>
      </c>
      <c r="C31" s="16" t="s">
        <v>9</v>
      </c>
      <c r="D31" s="16"/>
      <c r="E31" s="16"/>
      <c r="F31" s="17"/>
      <c r="G31" s="22">
        <v>15600</v>
      </c>
      <c r="H31" s="17">
        <f>H30+F31-G31</f>
        <v>2159452</v>
      </c>
    </row>
    <row r="32" spans="2:8" ht="16.5" customHeight="1" x14ac:dyDescent="0.3">
      <c r="B32" s="47" t="s">
        <v>11</v>
      </c>
      <c r="C32" s="48"/>
      <c r="D32" s="48"/>
      <c r="E32" s="49"/>
      <c r="F32" s="19">
        <f>SUM(F30:F31)</f>
        <v>0</v>
      </c>
      <c r="G32" s="19">
        <f>SUM(G30:G31)</f>
        <v>23880</v>
      </c>
      <c r="H32" s="20"/>
    </row>
    <row r="33" spans="2:8" ht="16.5" customHeight="1" x14ac:dyDescent="0.3">
      <c r="B33" s="41" t="s">
        <v>8</v>
      </c>
      <c r="C33" s="42"/>
      <c r="D33" s="42"/>
      <c r="E33" s="43"/>
      <c r="F33" s="11">
        <f>H31</f>
        <v>2159452</v>
      </c>
      <c r="G33" s="12">
        <v>0</v>
      </c>
      <c r="H33" s="11">
        <f>F33</f>
        <v>2159452</v>
      </c>
    </row>
    <row r="34" spans="2:8" ht="16.5" customHeight="1" x14ac:dyDescent="0.3">
      <c r="B34" s="13">
        <v>45390</v>
      </c>
      <c r="C34" s="14" t="s">
        <v>9</v>
      </c>
      <c r="D34" s="14"/>
      <c r="E34" s="14"/>
      <c r="F34" s="15"/>
      <c r="G34" s="15">
        <v>33600</v>
      </c>
      <c r="H34" s="15">
        <f>H33+F34-G34</f>
        <v>2125852</v>
      </c>
    </row>
    <row r="35" spans="2:8" ht="16.5" customHeight="1" x14ac:dyDescent="0.3">
      <c r="B35" s="29">
        <v>45390</v>
      </c>
      <c r="C35" s="16" t="s">
        <v>9</v>
      </c>
      <c r="D35" s="16"/>
      <c r="E35" s="16"/>
      <c r="F35" s="17"/>
      <c r="G35" s="17">
        <v>22000</v>
      </c>
      <c r="H35" s="17">
        <f t="shared" ref="H35:H40" si="2">H34+F35-G35</f>
        <v>2103852</v>
      </c>
    </row>
    <row r="36" spans="2:8" ht="16.5" customHeight="1" x14ac:dyDescent="0.3">
      <c r="B36" s="29">
        <v>45390</v>
      </c>
      <c r="C36" s="16" t="s">
        <v>18</v>
      </c>
      <c r="D36" s="16"/>
      <c r="E36" s="16"/>
      <c r="F36" s="17"/>
      <c r="G36" s="17">
        <v>100000</v>
      </c>
      <c r="H36" s="17">
        <f t="shared" si="2"/>
        <v>2003852</v>
      </c>
    </row>
    <row r="37" spans="2:8" ht="16.5" customHeight="1" x14ac:dyDescent="0.3">
      <c r="B37" s="29">
        <v>45390</v>
      </c>
      <c r="C37" s="16" t="s">
        <v>9</v>
      </c>
      <c r="D37" s="16"/>
      <c r="E37" s="16"/>
      <c r="F37" s="17"/>
      <c r="G37" s="17">
        <v>8800</v>
      </c>
      <c r="H37" s="17">
        <f t="shared" si="2"/>
        <v>1995052</v>
      </c>
    </row>
    <row r="38" spans="2:8" ht="16.5" customHeight="1" x14ac:dyDescent="0.3">
      <c r="B38" s="29">
        <v>45390</v>
      </c>
      <c r="C38" s="16" t="s">
        <v>9</v>
      </c>
      <c r="D38" s="16"/>
      <c r="E38" s="16"/>
      <c r="F38" s="17"/>
      <c r="G38" s="17">
        <v>7920</v>
      </c>
      <c r="H38" s="17">
        <f t="shared" si="2"/>
        <v>1987132</v>
      </c>
    </row>
    <row r="39" spans="2:8" ht="16.5" customHeight="1" x14ac:dyDescent="0.3">
      <c r="B39" s="29">
        <v>45390</v>
      </c>
      <c r="C39" s="16" t="s">
        <v>9</v>
      </c>
      <c r="D39" s="16"/>
      <c r="E39" s="16"/>
      <c r="F39" s="17"/>
      <c r="G39" s="17">
        <v>38500</v>
      </c>
      <c r="H39" s="17">
        <f t="shared" si="2"/>
        <v>1948632</v>
      </c>
    </row>
    <row r="40" spans="2:8" ht="16.5" customHeight="1" x14ac:dyDescent="0.3">
      <c r="B40" s="29">
        <v>45390</v>
      </c>
      <c r="C40" s="16" t="s">
        <v>10</v>
      </c>
      <c r="D40" s="16"/>
      <c r="E40" s="16"/>
      <c r="F40" s="17"/>
      <c r="G40" s="17">
        <v>8000</v>
      </c>
      <c r="H40" s="18">
        <f t="shared" si="2"/>
        <v>1940632</v>
      </c>
    </row>
    <row r="41" spans="2:8" ht="16.5" customHeight="1" x14ac:dyDescent="0.3">
      <c r="B41" s="47" t="s">
        <v>11</v>
      </c>
      <c r="C41" s="48"/>
      <c r="D41" s="48"/>
      <c r="E41" s="49"/>
      <c r="F41" s="19">
        <f>SUM(F34:F40)</f>
        <v>0</v>
      </c>
      <c r="G41" s="19">
        <f>SUM(G34:G40)</f>
        <v>218820</v>
      </c>
      <c r="H41" s="20"/>
    </row>
    <row r="42" spans="2:8" x14ac:dyDescent="0.3">
      <c r="B42" s="41" t="s">
        <v>8</v>
      </c>
      <c r="C42" s="42"/>
      <c r="D42" s="42"/>
      <c r="E42" s="43"/>
      <c r="F42" s="11">
        <f>H40</f>
        <v>1940632</v>
      </c>
      <c r="G42" s="12">
        <v>0</v>
      </c>
      <c r="H42" s="11">
        <f>F42</f>
        <v>1940632</v>
      </c>
    </row>
    <row r="43" spans="2:8" ht="17.25" thickBot="1" x14ac:dyDescent="0.35">
      <c r="B43" s="32" t="s">
        <v>19</v>
      </c>
      <c r="C43" s="33"/>
      <c r="D43" s="33"/>
      <c r="E43" s="34"/>
      <c r="F43" s="31">
        <f>SUM(G36:G37,H37:H39)</f>
        <v>6039616</v>
      </c>
      <c r="G43" s="31">
        <f>SUM(G9,G17,G21,G25,G28,G32,G41)</f>
        <v>468740</v>
      </c>
      <c r="H43" s="31">
        <f>F43-G43</f>
        <v>5570876</v>
      </c>
    </row>
  </sheetData>
  <mergeCells count="16">
    <mergeCell ref="B43:E43"/>
    <mergeCell ref="B10:E10"/>
    <mergeCell ref="B4:E4"/>
    <mergeCell ref="B42:E42"/>
    <mergeCell ref="B33:E33"/>
    <mergeCell ref="B29:E29"/>
    <mergeCell ref="B26:E26"/>
    <mergeCell ref="B22:E22"/>
    <mergeCell ref="B18:E18"/>
    <mergeCell ref="B9:E9"/>
    <mergeCell ref="B41:E41"/>
    <mergeCell ref="B32:E32"/>
    <mergeCell ref="B28:E28"/>
    <mergeCell ref="B25:E25"/>
    <mergeCell ref="B21:E21"/>
    <mergeCell ref="B17:E17"/>
  </mergeCells>
  <phoneticPr fontId="1" type="noConversion"/>
  <conditionalFormatting sqref="B35:B40 B31 B24 B20 B12:B16 B6:B8">
    <cfRule type="expression" dxfId="1" priority="2">
      <formula>B5=B6</formula>
    </cfRule>
  </conditionalFormatting>
  <conditionalFormatting sqref="B34 B30 B27 B23 B19 B11 B5">
    <cfRule type="expression" dxfId="0" priority="3">
      <formula>#REF!=B5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>
                  <from>
                    <xdr:col>4</xdr:col>
                    <xdr:colOff>0</xdr:colOff>
                    <xdr:row>0</xdr:row>
                    <xdr:rowOff>219075</xdr:rowOff>
                  </from>
                  <to>
                    <xdr:col>5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단추2_Click">
                <anchor moveWithCells="1">
                  <from>
                    <xdr:col>5</xdr:col>
                    <xdr:colOff>638175</xdr:colOff>
                    <xdr:row>0</xdr:row>
                    <xdr:rowOff>180975</xdr:rowOff>
                  </from>
                  <to>
                    <xdr:col>6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장기영 엑셀장인</dc:creator>
  <cp:lastModifiedBy>xlwhy.com</cp:lastModifiedBy>
  <dcterms:created xsi:type="dcterms:W3CDTF">2024-06-06T21:36:56Z</dcterms:created>
  <dcterms:modified xsi:type="dcterms:W3CDTF">2024-08-05T21:36:12Z</dcterms:modified>
</cp:coreProperties>
</file>