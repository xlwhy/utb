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480" yWindow="375" windowWidth="16995" windowHeight="10035"/>
  </bookViews>
  <sheets>
    <sheet name="Sheet1" sheetId="1" r:id="rId1"/>
    <sheet name="Sheet2" sheetId="2" r:id="rId2"/>
    <sheet name="Sheet3" sheetId="3" r:id="rId3"/>
  </sheets>
  <definedNames>
    <definedName name="naCnt">COUNTA(OFFSET(Sheet1!$J$1,MATCH(Sheet2!XFD1,Sheet1!$I:$I,0)-1,,,9))</definedName>
    <definedName name="naLev1">Sheet1!$I$1:$I$2</definedName>
    <definedName name="naLev234">OFFSET(Sheet1!$J$1,MATCH(Sheet2!XFD1,Sheet1!$I:$I,0)-1,0,,naCnt)</definedName>
  </definedNames>
  <calcPr calcId="144525" iterateCount="1"/>
</workbook>
</file>

<file path=xl/calcChain.xml><?xml version="1.0" encoding="utf-8"?>
<calcChain xmlns="http://schemas.openxmlformats.org/spreadsheetml/2006/main">
  <c r="E7" i="2" l="1"/>
</calcChain>
</file>

<file path=xl/sharedStrings.xml><?xml version="1.0" encoding="utf-8"?>
<sst xmlns="http://schemas.openxmlformats.org/spreadsheetml/2006/main" count="174" uniqueCount="43">
  <si>
    <t>영업활동</t>
  </si>
  <si>
    <t>영업수입</t>
  </si>
  <si>
    <t>매출채권회수</t>
  </si>
  <si>
    <t>받을어음만기</t>
  </si>
  <si>
    <t>수입임대료</t>
  </si>
  <si>
    <t>기타</t>
  </si>
  <si>
    <t>영업지출</t>
  </si>
  <si>
    <t>매입채무지급</t>
  </si>
  <si>
    <t>원재료</t>
  </si>
  <si>
    <t>상품</t>
  </si>
  <si>
    <t>외주가공비</t>
  </si>
  <si>
    <t>NRE(개발비)</t>
  </si>
  <si>
    <t>개발시료비</t>
  </si>
  <si>
    <t>개발외주비</t>
  </si>
  <si>
    <t>품질비용</t>
  </si>
  <si>
    <t>대분류</t>
  </si>
  <si>
    <t>중분류</t>
  </si>
  <si>
    <t>계정과목</t>
  </si>
  <si>
    <t>소계정</t>
  </si>
  <si>
    <t>투자활동</t>
  </si>
  <si>
    <t>투자수입</t>
  </si>
  <si>
    <t>금융상품 회수</t>
  </si>
  <si>
    <t>투자자산 매각</t>
  </si>
  <si>
    <t>투자지출</t>
  </si>
  <si>
    <t>금융상품 투자</t>
  </si>
  <si>
    <t>투자자산 취득</t>
  </si>
  <si>
    <t>자산매각</t>
  </si>
  <si>
    <t>유형자산 매각</t>
  </si>
  <si>
    <t>무형자산 매각</t>
  </si>
  <si>
    <t>자산취득</t>
  </si>
  <si>
    <t>유형자산 취득</t>
  </si>
  <si>
    <t>무형자산 취득</t>
  </si>
  <si>
    <t>C2:C25</t>
    <phoneticPr fontId="1" type="noConversion"/>
  </si>
  <si>
    <t>비품</t>
  </si>
  <si>
    <t>영업활동</t>
    <phoneticPr fontId="1" type="noConversion"/>
  </si>
  <si>
    <t>투자활동</t>
    <phoneticPr fontId="1" type="noConversion"/>
  </si>
  <si>
    <t>B2:B25</t>
    <phoneticPr fontId="1" type="noConversion"/>
  </si>
  <si>
    <t>영업수입</t>
    <phoneticPr fontId="1" type="noConversion"/>
  </si>
  <si>
    <t>A2:A25</t>
    <phoneticPr fontId="1" type="noConversion"/>
  </si>
  <si>
    <t>영업지출</t>
    <phoneticPr fontId="1" type="noConversion"/>
  </si>
  <si>
    <t>영업수입</t>
    <phoneticPr fontId="1" type="noConversion"/>
  </si>
  <si>
    <t>=OFFSET(Sheet1!$J$1,MATCH(Sheet2!A2,Sheet1!$I:$I,0)-1,0,,naCnt)</t>
    <phoneticPr fontId="1" type="noConversion"/>
  </si>
  <si>
    <t>=COUNTA(OFFSET(Sheet1!$J$1,MATCH(Sheet2!A2,Sheet1!$I:$I,0)-1,,,9))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</si>
</sst>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</cellXfs>
  <cellStyles count="1">
    <cellStyle name="표준" xfId="0" builtinId="0"/>
  </cellStyles>
  <dxfs count="59"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alignment horizontal="center" vertical="center" textRotation="0" wrapText="0" indent="0" justifyLastLine="0" shrinkToFit="0" readingOrder="0"/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</xdr:row>
          <xdr:rowOff>104775</xdr:rowOff>
        </xdr:from>
        <xdr:to>
          <xdr:col>3</xdr:col>
          <xdr:colOff>619125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3</xdr:col>
      <xdr:colOff>600591</xdr:colOff>
      <xdr:row>18</xdr:row>
      <xdr:rowOff>9878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257300"/>
          <a:ext cx="3696216" cy="252447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ables/table1.xml><?xml version="1.0" encoding="utf-8"?>
<table xmlns="http://schemas.openxmlformats.org/spreadsheetml/2006/main" id="1" name="표1" displayName="표1" ref="A1:D3" totalsRowShown="0" headerRowDxfId="57">
  <autoFilter ref="A1:D3"/>
  <tableColumns count="4">
    <tableColumn id="1" name="대분류"/>
    <tableColumn id="2" name="중분류"/>
    <tableColumn id="3" name="계정과목"/>
    <tableColumn id="4" name="소계정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A16" sqref="A16"/>
    </sheetView>
  </sheetViews>
  <sheetFormatPr defaultRowHeight="16.5" x14ac:dyDescent="0.3"/>
  <cols>
    <col min="1" max="1" width="8.25" customWidth="1"/>
    <col min="2" max="2" width="8.75" customWidth="1"/>
    <col min="3" max="3" width="9.625" customWidth="1"/>
    <col min="4" max="4" width="9.875" customWidth="1"/>
    <col min="5" max="5" width="1.625" customWidth="1"/>
    <col min="6" max="6" width="6.75" customWidth="1"/>
    <col min="7" max="7" width="1.625" customWidth="1"/>
    <col min="8" max="8" width="7.375" bestFit="1" customWidth="1"/>
    <col min="9" max="9" width="11.125" customWidth="1"/>
  </cols>
  <sheetData>
    <row r="1" spans="1:13" x14ac:dyDescent="0.3">
      <c r="A1" s="1" t="s">
        <v>15</v>
      </c>
      <c r="B1" s="1" t="s">
        <v>16</v>
      </c>
      <c r="C1" s="1" t="s">
        <v>17</v>
      </c>
      <c r="D1" s="1" t="s">
        <v>18</v>
      </c>
      <c r="E1" s="1"/>
      <c r="G1" s="1"/>
      <c r="H1" t="s">
        <v>38</v>
      </c>
      <c r="I1" t="s">
        <v>34</v>
      </c>
      <c r="J1" t="s">
        <v>1</v>
      </c>
      <c r="K1" t="s">
        <v>6</v>
      </c>
    </row>
    <row r="2" spans="1:13" x14ac:dyDescent="0.3">
      <c r="A2" t="s">
        <v>0</v>
      </c>
      <c r="B2" t="s">
        <v>37</v>
      </c>
      <c r="C2" t="s">
        <v>2</v>
      </c>
      <c r="H2" t="s">
        <v>38</v>
      </c>
      <c r="I2" t="s">
        <v>19</v>
      </c>
      <c r="J2" t="s">
        <v>20</v>
      </c>
      <c r="K2" t="s">
        <v>23</v>
      </c>
      <c r="L2" t="s">
        <v>26</v>
      </c>
      <c r="M2" t="s">
        <v>29</v>
      </c>
    </row>
    <row r="3" spans="1:13" x14ac:dyDescent="0.3">
      <c r="A3" t="s">
        <v>34</v>
      </c>
      <c r="B3" t="s">
        <v>1</v>
      </c>
      <c r="C3" t="s">
        <v>3</v>
      </c>
    </row>
    <row r="4" spans="1:13" x14ac:dyDescent="0.3">
      <c r="A4" t="s">
        <v>0</v>
      </c>
      <c r="B4" t="s">
        <v>1</v>
      </c>
      <c r="C4" t="s">
        <v>4</v>
      </c>
      <c r="H4" t="s">
        <v>36</v>
      </c>
      <c r="I4" s="3" t="s">
        <v>1</v>
      </c>
      <c r="J4" t="s">
        <v>2</v>
      </c>
      <c r="K4" t="s">
        <v>3</v>
      </c>
      <c r="L4" t="s">
        <v>4</v>
      </c>
      <c r="M4" t="s">
        <v>5</v>
      </c>
    </row>
    <row r="5" spans="1:13" x14ac:dyDescent="0.3">
      <c r="A5" t="s">
        <v>0</v>
      </c>
      <c r="B5" t="s">
        <v>1</v>
      </c>
      <c r="C5" t="s">
        <v>5</v>
      </c>
      <c r="H5" t="s">
        <v>36</v>
      </c>
      <c r="I5" s="3" t="s">
        <v>6</v>
      </c>
      <c r="J5" t="s">
        <v>7</v>
      </c>
      <c r="K5" t="s">
        <v>11</v>
      </c>
    </row>
    <row r="6" spans="1:13" x14ac:dyDescent="0.3">
      <c r="A6" t="s">
        <v>0</v>
      </c>
      <c r="B6" t="s">
        <v>6</v>
      </c>
      <c r="C6" t="s">
        <v>7</v>
      </c>
      <c r="D6" t="s">
        <v>8</v>
      </c>
      <c r="H6" t="s">
        <v>36</v>
      </c>
      <c r="I6" s="3" t="s">
        <v>20</v>
      </c>
      <c r="J6" t="s">
        <v>21</v>
      </c>
      <c r="K6" t="s">
        <v>22</v>
      </c>
      <c r="L6" t="s">
        <v>5</v>
      </c>
    </row>
    <row r="7" spans="1:13" x14ac:dyDescent="0.3">
      <c r="A7" t="s">
        <v>0</v>
      </c>
      <c r="B7" t="s">
        <v>6</v>
      </c>
      <c r="C7" t="s">
        <v>7</v>
      </c>
      <c r="D7" t="s">
        <v>9</v>
      </c>
      <c r="H7" t="s">
        <v>36</v>
      </c>
      <c r="I7" s="3" t="s">
        <v>23</v>
      </c>
      <c r="J7" t="s">
        <v>24</v>
      </c>
      <c r="K7" t="s">
        <v>25</v>
      </c>
      <c r="L7" t="s">
        <v>5</v>
      </c>
    </row>
    <row r="8" spans="1:13" x14ac:dyDescent="0.3">
      <c r="A8" t="s">
        <v>0</v>
      </c>
      <c r="B8" t="s">
        <v>39</v>
      </c>
      <c r="C8" t="s">
        <v>7</v>
      </c>
      <c r="D8" t="s">
        <v>10</v>
      </c>
      <c r="H8" t="s">
        <v>36</v>
      </c>
      <c r="I8" s="3" t="s">
        <v>26</v>
      </c>
      <c r="J8" t="s">
        <v>27</v>
      </c>
      <c r="K8" t="s">
        <v>28</v>
      </c>
      <c r="L8" t="s">
        <v>5</v>
      </c>
    </row>
    <row r="9" spans="1:13" x14ac:dyDescent="0.3">
      <c r="A9" t="s">
        <v>0</v>
      </c>
      <c r="B9" t="s">
        <v>6</v>
      </c>
      <c r="C9" t="s">
        <v>7</v>
      </c>
      <c r="D9" t="s">
        <v>5</v>
      </c>
      <c r="H9" t="s">
        <v>36</v>
      </c>
      <c r="I9" s="3" t="s">
        <v>29</v>
      </c>
      <c r="J9" t="s">
        <v>30</v>
      </c>
      <c r="K9" t="s">
        <v>31</v>
      </c>
      <c r="L9" t="s">
        <v>5</v>
      </c>
    </row>
    <row r="10" spans="1:13" x14ac:dyDescent="0.3">
      <c r="A10" t="s">
        <v>0</v>
      </c>
      <c r="B10" t="s">
        <v>6</v>
      </c>
      <c r="C10" t="s">
        <v>11</v>
      </c>
      <c r="D10" t="s">
        <v>12</v>
      </c>
      <c r="H10" s="4"/>
    </row>
    <row r="11" spans="1:13" x14ac:dyDescent="0.3">
      <c r="A11" t="s">
        <v>0</v>
      </c>
      <c r="B11" t="s">
        <v>6</v>
      </c>
      <c r="C11" t="s">
        <v>11</v>
      </c>
      <c r="D11" t="s">
        <v>13</v>
      </c>
      <c r="H11" t="s">
        <v>32</v>
      </c>
      <c r="I11" t="s">
        <v>2</v>
      </c>
    </row>
    <row r="12" spans="1:13" x14ac:dyDescent="0.3">
      <c r="A12" t="s">
        <v>0</v>
      </c>
      <c r="B12" t="s">
        <v>6</v>
      </c>
      <c r="C12" t="s">
        <v>11</v>
      </c>
      <c r="D12" t="s">
        <v>14</v>
      </c>
      <c r="H12" t="s">
        <v>32</v>
      </c>
      <c r="I12" t="s">
        <v>3</v>
      </c>
    </row>
    <row r="13" spans="1:13" x14ac:dyDescent="0.3">
      <c r="A13" t="s">
        <v>0</v>
      </c>
      <c r="B13" t="s">
        <v>6</v>
      </c>
      <c r="C13" t="s">
        <v>11</v>
      </c>
      <c r="D13" t="s">
        <v>5</v>
      </c>
      <c r="H13" t="s">
        <v>32</v>
      </c>
      <c r="I13" t="s">
        <v>4</v>
      </c>
    </row>
    <row r="14" spans="1:13" x14ac:dyDescent="0.3">
      <c r="A14" t="s">
        <v>35</v>
      </c>
      <c r="B14" t="s">
        <v>20</v>
      </c>
      <c r="C14" t="s">
        <v>21</v>
      </c>
      <c r="H14" t="s">
        <v>32</v>
      </c>
      <c r="I14" t="s">
        <v>5</v>
      </c>
    </row>
    <row r="15" spans="1:13" x14ac:dyDescent="0.3">
      <c r="A15" t="s">
        <v>19</v>
      </c>
      <c r="B15" t="s">
        <v>20</v>
      </c>
      <c r="C15" t="s">
        <v>22</v>
      </c>
      <c r="H15" t="s">
        <v>32</v>
      </c>
      <c r="I15" t="s">
        <v>7</v>
      </c>
      <c r="J15" t="s">
        <v>8</v>
      </c>
      <c r="K15" t="s">
        <v>9</v>
      </c>
      <c r="L15" t="s">
        <v>10</v>
      </c>
      <c r="M15" t="s">
        <v>5</v>
      </c>
    </row>
    <row r="16" spans="1:13" x14ac:dyDescent="0.3">
      <c r="A16" t="s">
        <v>19</v>
      </c>
      <c r="B16" t="s">
        <v>20</v>
      </c>
      <c r="C16" t="s">
        <v>5</v>
      </c>
      <c r="H16" t="s">
        <v>32</v>
      </c>
      <c r="I16" t="s">
        <v>11</v>
      </c>
      <c r="J16" t="s">
        <v>12</v>
      </c>
      <c r="K16" t="s">
        <v>13</v>
      </c>
      <c r="L16" t="s">
        <v>14</v>
      </c>
      <c r="M16" t="s">
        <v>5</v>
      </c>
    </row>
    <row r="17" spans="1:9" x14ac:dyDescent="0.3">
      <c r="A17" t="s">
        <v>19</v>
      </c>
      <c r="B17" t="s">
        <v>23</v>
      </c>
      <c r="C17" t="s">
        <v>24</v>
      </c>
      <c r="H17" t="s">
        <v>32</v>
      </c>
      <c r="I17" t="s">
        <v>21</v>
      </c>
    </row>
    <row r="18" spans="1:9" x14ac:dyDescent="0.3">
      <c r="A18" t="s">
        <v>19</v>
      </c>
      <c r="B18" t="s">
        <v>23</v>
      </c>
      <c r="C18" t="s">
        <v>25</v>
      </c>
      <c r="H18" t="s">
        <v>32</v>
      </c>
      <c r="I18" t="s">
        <v>22</v>
      </c>
    </row>
    <row r="19" spans="1:9" x14ac:dyDescent="0.3">
      <c r="A19" t="s">
        <v>19</v>
      </c>
      <c r="B19" t="s">
        <v>23</v>
      </c>
      <c r="C19" t="s">
        <v>5</v>
      </c>
      <c r="H19" t="s">
        <v>32</v>
      </c>
      <c r="I19" t="s">
        <v>24</v>
      </c>
    </row>
    <row r="20" spans="1:9" x14ac:dyDescent="0.3">
      <c r="A20" t="s">
        <v>19</v>
      </c>
      <c r="B20" t="s">
        <v>26</v>
      </c>
      <c r="C20" t="s">
        <v>27</v>
      </c>
      <c r="H20" t="s">
        <v>32</v>
      </c>
      <c r="I20" t="s">
        <v>25</v>
      </c>
    </row>
    <row r="21" spans="1:9" x14ac:dyDescent="0.3">
      <c r="A21" t="s">
        <v>19</v>
      </c>
      <c r="B21" t="s">
        <v>26</v>
      </c>
      <c r="C21" t="s">
        <v>28</v>
      </c>
      <c r="H21" t="s">
        <v>32</v>
      </c>
      <c r="I21" t="s">
        <v>27</v>
      </c>
    </row>
    <row r="22" spans="1:9" x14ac:dyDescent="0.3">
      <c r="A22" t="s">
        <v>19</v>
      </c>
      <c r="B22" t="s">
        <v>26</v>
      </c>
      <c r="C22" t="s">
        <v>5</v>
      </c>
      <c r="H22" t="s">
        <v>32</v>
      </c>
      <c r="I22" t="s">
        <v>28</v>
      </c>
    </row>
    <row r="23" spans="1:9" x14ac:dyDescent="0.3">
      <c r="A23" t="s">
        <v>19</v>
      </c>
      <c r="B23" t="s">
        <v>29</v>
      </c>
      <c r="C23" t="s">
        <v>30</v>
      </c>
      <c r="H23" t="s">
        <v>32</v>
      </c>
      <c r="I23" t="s">
        <v>30</v>
      </c>
    </row>
    <row r="24" spans="1:9" x14ac:dyDescent="0.3">
      <c r="A24" t="s">
        <v>19</v>
      </c>
      <c r="B24" t="s">
        <v>29</v>
      </c>
      <c r="C24" t="s">
        <v>31</v>
      </c>
      <c r="H24" t="s">
        <v>32</v>
      </c>
      <c r="I24" t="s">
        <v>31</v>
      </c>
    </row>
    <row r="25" spans="1:9" x14ac:dyDescent="0.3">
      <c r="A25" t="s">
        <v>19</v>
      </c>
      <c r="B25" t="s">
        <v>29</v>
      </c>
      <c r="C25" t="s">
        <v>5</v>
      </c>
    </row>
  </sheetData>
  <phoneticPr fontId="1" type="noConversion"/>
  <conditionalFormatting sqref="A2:C25">
    <cfRule type="expression" dxfId="58" priority="84">
      <formula>A1=A2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단추1_Click">
                <anchor moveWithCells="1">
                  <from>
                    <xdr:col>3</xdr:col>
                    <xdr:colOff>161925</xdr:colOff>
                    <xdr:row>2</xdr:row>
                    <xdr:rowOff>104775</xdr:rowOff>
                  </from>
                  <to>
                    <xdr:col>3</xdr:col>
                    <xdr:colOff>619125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0"/>
  <sheetViews>
    <sheetView workbookViewId="0">
      <selection activeCell="E4" sqref="E4"/>
    </sheetView>
  </sheetViews>
  <sheetFormatPr defaultRowHeight="16.5" x14ac:dyDescent="0.3"/>
  <cols>
    <col min="1" max="1" width="13.875" customWidth="1"/>
    <col min="2" max="2" width="13.75" bestFit="1" customWidth="1"/>
    <col min="3" max="3" width="13" bestFit="1" customWidth="1"/>
  </cols>
  <sheetData>
    <row r="1" spans="1:5" x14ac:dyDescent="0.3">
      <c r="A1" s="2" t="s">
        <v>15</v>
      </c>
      <c r="B1" s="2" t="s">
        <v>16</v>
      </c>
      <c r="C1" s="2" t="s">
        <v>17</v>
      </c>
      <c r="D1" s="2" t="s">
        <v>18</v>
      </c>
    </row>
    <row r="2" spans="1:5" x14ac:dyDescent="0.3">
      <c r="A2" t="s">
        <v>0</v>
      </c>
      <c r="B2" t="s">
        <v>40</v>
      </c>
      <c r="C2" t="s">
        <v>7</v>
      </c>
      <c r="D2" t="s">
        <v>33</v>
      </c>
    </row>
    <row r="3" spans="1:5" x14ac:dyDescent="0.3">
      <c r="A3" t="s">
        <v>0</v>
      </c>
      <c r="B3" t="s">
        <v>6</v>
      </c>
      <c r="C3" t="s">
        <v>11</v>
      </c>
      <c r="D3" t="s">
        <v>13</v>
      </c>
    </row>
    <row r="5" spans="1:5" x14ac:dyDescent="0.3">
      <c r="A5" s="4" t="s">
        <v>42</v>
      </c>
    </row>
    <row r="7" spans="1:5" x14ac:dyDescent="0.3">
      <c r="E7">
        <f ca="1">COUNTA(OFFSET(Sheet1!$J$1,MATCH(Sheet2!A2,Sheet1!$I:$I,0)-1,,,9))</f>
        <v>2</v>
      </c>
    </row>
    <row r="20" spans="1:1" x14ac:dyDescent="0.3">
      <c r="A20" s="4" t="s">
        <v>41</v>
      </c>
    </row>
  </sheetData>
  <phoneticPr fontId="1" type="noConversion"/>
  <dataValidations count="2">
    <dataValidation type="list" allowBlank="1" showInputMessage="1" showErrorMessage="1" sqref="A2:A3">
      <formula1>naLev1</formula1>
    </dataValidation>
    <dataValidation type="list" allowBlank="1" showInputMessage="1" showErrorMessage="1" sqref="B2:D3">
      <formula1>naLev234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naLev1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xlwhy.com</dc:creator>
  <cp:lastModifiedBy>xlwhy.com</cp:lastModifiedBy>
  <dcterms:created xsi:type="dcterms:W3CDTF">2024-11-26T20:24:38Z</dcterms:created>
  <dcterms:modified xsi:type="dcterms:W3CDTF">2024-11-27T21:02:09Z</dcterms:modified>
</cp:coreProperties>
</file>